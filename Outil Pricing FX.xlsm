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hab\Desktop\Projets\Projet FX forward pricing\"/>
    </mc:Choice>
  </mc:AlternateContent>
  <xr:revisionPtr revIDLastSave="0" documentId="13_ncr:1_{F3CDF1C8-39AE-4A58-9FD6-FE807A3C0968}" xr6:coauthVersionLast="47" xr6:coauthVersionMax="47" xr10:uidLastSave="{00000000-0000-0000-0000-000000000000}"/>
  <bookViews>
    <workbookView xWindow="-98" yWindow="-98" windowWidth="22276" windowHeight="13276" tabRatio="500" activeTab="2" xr2:uid="{00000000-000D-0000-FFFF-FFFF00000000}"/>
  </bookViews>
  <sheets>
    <sheet name="Dashboard" sheetId="4" r:id="rId1"/>
    <sheet name="Parametres" sheetId="1" r:id="rId2"/>
    <sheet name="Positions" sheetId="2" r:id="rId3"/>
    <sheet name="Taux " sheetId="6" r:id="rId4"/>
    <sheet name="Pricing" sheetId="3" r:id="rId5"/>
  </sheets>
  <definedNames>
    <definedName name="_xleta.AND" hidden="1" xlm="1">#NAME?</definedName>
    <definedName name="_xleta.RATE" hidden="1" xlm="1">#NAME?</definedName>
    <definedName name="DonnéesExternes_1" localSheetId="3" hidden="1">'Taux '!$A$1:$B$167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9" i="2" l="1"/>
  <c r="I8" i="2"/>
  <c r="I7" i="2"/>
  <c r="I6" i="2"/>
  <c r="I5" i="2"/>
  <c r="G9" i="3"/>
  <c r="G11" i="3"/>
  <c r="G8" i="3"/>
  <c r="H8" i="3" s="1"/>
  <c r="I8" i="3" s="1"/>
  <c r="B16" i="1" a="1"/>
  <c r="B16" i="1" s="1"/>
  <c r="B15" i="1" a="1"/>
  <c r="B15" i="1" s="1"/>
  <c r="B14" i="1" a="1"/>
  <c r="B14" i="1" s="1"/>
  <c r="B13" i="1" a="1"/>
  <c r="B13" i="1" s="1"/>
  <c r="B17" i="1" s="1"/>
  <c r="G12" i="3"/>
  <c r="E12" i="3"/>
  <c r="D12" i="3"/>
  <c r="C12" i="3"/>
  <c r="B12" i="3"/>
  <c r="A12" i="3"/>
  <c r="E11" i="3"/>
  <c r="D11" i="3"/>
  <c r="C11" i="3"/>
  <c r="B11" i="3"/>
  <c r="A11" i="3"/>
  <c r="G10" i="3"/>
  <c r="E10" i="3"/>
  <c r="D10" i="3"/>
  <c r="C10" i="3"/>
  <c r="B10" i="3"/>
  <c r="A10" i="3"/>
  <c r="E9" i="3"/>
  <c r="D9" i="3"/>
  <c r="C9" i="3"/>
  <c r="B9" i="3"/>
  <c r="A9" i="3"/>
  <c r="E8" i="3"/>
  <c r="D8" i="3"/>
  <c r="C8" i="3"/>
  <c r="B8" i="3"/>
  <c r="A8" i="3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F4" i="4"/>
  <c r="B4" i="4"/>
  <c r="H12" i="3" l="1"/>
  <c r="I12" i="3" s="1"/>
  <c r="J12" i="3" s="1"/>
  <c r="G13" i="4" s="1"/>
  <c r="H9" i="3"/>
  <c r="I9" i="3" s="1"/>
  <c r="J9" i="3" s="1"/>
  <c r="G10" i="4" s="1"/>
  <c r="H10" i="3"/>
  <c r="I10" i="3" s="1"/>
  <c r="H11" i="3"/>
  <c r="I11" i="3" s="1"/>
  <c r="F12" i="4" s="1"/>
  <c r="F13" i="4" l="1"/>
  <c r="F10" i="4"/>
  <c r="J11" i="3"/>
  <c r="G12" i="4" s="1"/>
  <c r="F11" i="4"/>
  <c r="J10" i="3"/>
  <c r="G11" i="4" s="1"/>
  <c r="F9" i="4"/>
  <c r="I14" i="3"/>
  <c r="J8" i="3"/>
  <c r="G9" i="4" s="1"/>
  <c r="F14" i="4" l="1"/>
  <c r="D4" i="4" s="1"/>
  <c r="J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514CA1-AA5C-494A-B2F8-B98C953A6AD0}" keepAlive="1" name="Requête - EUR" description="Connexion à la requête « EUR » dans le classeur." type="5" refreshedVersion="8" background="1" saveData="1">
    <dbPr connection="Provider=Microsoft.Mashup.OleDb.1;Data Source=$Workbook$;Location=EUR;Extended Properties=&quot;&quot;" command="SELECT * FROM [EU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<sst xmlns="http://schemas.openxmlformats.org/spreadsheetml/2006/main" count="293" uniqueCount="250">
  <si>
    <t>TAUX D'INTÉRÊT (% annuel)</t>
  </si>
  <si>
    <t>Devise</t>
  </si>
  <si>
    <t>Taux annuel (%)</t>
  </si>
  <si>
    <t>Description</t>
  </si>
  <si>
    <t>Source</t>
  </si>
  <si>
    <t>EUR</t>
  </si>
  <si>
    <t>Taux €STR BCE</t>
  </si>
  <si>
    <t>BCE, mars 2026</t>
  </si>
  <si>
    <t>USD</t>
  </si>
  <si>
    <t>Fed Funds Rate</t>
  </si>
  <si>
    <t>Fed, mars 2026</t>
  </si>
  <si>
    <t>GBP</t>
  </si>
  <si>
    <t>SONIA Bank of England</t>
  </si>
  <si>
    <t>BoE, mars 2026</t>
  </si>
  <si>
    <t>JPY</t>
  </si>
  <si>
    <t>Taux BOJ</t>
  </si>
  <si>
    <t>BOJ, mars 2026</t>
  </si>
  <si>
    <t>CHF</t>
  </si>
  <si>
    <t>SARON BNS</t>
  </si>
  <si>
    <t>BNS, mars 2026</t>
  </si>
  <si>
    <t>TAUX SPOT DE RÉFÉRENCE</t>
  </si>
  <si>
    <t>Paire</t>
  </si>
  <si>
    <t>Taux Spot</t>
  </si>
  <si>
    <t>Devise Base</t>
  </si>
  <si>
    <t>Devise Cotée</t>
  </si>
  <si>
    <t>EUR/USD</t>
  </si>
  <si>
    <t>EUR/GBP</t>
  </si>
  <si>
    <t>EUR/JPY</t>
  </si>
  <si>
    <t>EUR/CHF</t>
  </si>
  <si>
    <t>GBP/USD</t>
  </si>
  <si>
    <t>LÉGENDE DES COULEURS</t>
  </si>
  <si>
    <t>■</t>
  </si>
  <si>
    <t>Texte bleu = Input à modifier par l'utilisateur</t>
  </si>
  <si>
    <t>PORTEFEUILLE DE TRADES</t>
  </si>
  <si>
    <t>#</t>
  </si>
  <si>
    <t>Client</t>
  </si>
  <si>
    <t>Paire FX</t>
  </si>
  <si>
    <t>Sens</t>
  </si>
  <si>
    <t>Nominal (€)</t>
  </si>
  <si>
    <t>Date Trade</t>
  </si>
  <si>
    <t>Date Valeur</t>
  </si>
  <si>
    <t>Taux Forward Contractuel</t>
  </si>
  <si>
    <t>Taux Spot Actuel</t>
  </si>
  <si>
    <t>Statut</t>
  </si>
  <si>
    <t>PME Alpha SAS</t>
  </si>
  <si>
    <t>ACHAT</t>
  </si>
  <si>
    <t>2026-03-01</t>
  </si>
  <si>
    <t>2026-06-01</t>
  </si>
  <si>
    <t>Ouvert</t>
  </si>
  <si>
    <t>Mairie de Lyon</t>
  </si>
  <si>
    <t>VENTE</t>
  </si>
  <si>
    <t>2026-02-15</t>
  </si>
  <si>
    <t>2026-05-15</t>
  </si>
  <si>
    <t>Groupe Dubois</t>
  </si>
  <si>
    <t>2026-01-10</t>
  </si>
  <si>
    <t>2026-04-10</t>
  </si>
  <si>
    <t>Caisse Épargne A</t>
  </si>
  <si>
    <t>2026-03-05</t>
  </si>
  <si>
    <t>2026-09-05</t>
  </si>
  <si>
    <t>PME Beta SARL</t>
  </si>
  <si>
    <t>2026-02-20</t>
  </si>
  <si>
    <t>2026-05-20</t>
  </si>
  <si>
    <t>Forward = Spot × [ (1 + r_cotée × T/360) / (1 + r_base × T/360) ]   |   T = nb jours jusqu'à maturité   |   r = taux d'intérêt annuel de chaque devise</t>
  </si>
  <si>
    <t>Jours à Maturité</t>
  </si>
  <si>
    <t>Forward Théorique</t>
  </si>
  <si>
    <t>Forward Contractuel</t>
  </si>
  <si>
    <t>Écart (pips)</t>
  </si>
  <si>
    <t>P&amp;L (€)</t>
  </si>
  <si>
    <t>Signal</t>
  </si>
  <si>
    <t>Nb de positions</t>
  </si>
  <si>
    <t>P&amp;L Total (€)</t>
  </si>
  <si>
    <t>Paires actives</t>
  </si>
  <si>
    <t>DÉTAIL P&amp;L PAR CLIENT</t>
  </si>
  <si>
    <t>TOTAL P&amp;L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</si>
  <si>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</si>
  <si>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</si>
  <si>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</si>
  <si>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</si>
  <si>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</si>
  <si>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</si>
  <si>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</si>
  <si>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</si>
  <si>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</si>
  <si>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</si>
  <si>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</si>
  <si>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</si>
  <si>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</si>
  <si>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</si>
  <si>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</si>
  <si>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</si>
  <si>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</si>
  <si>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</si>
  <si>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</si>
  <si>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</si>
  <si>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</si>
  <si>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</si>
  <si>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</si>
  <si>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</si>
  <si>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BZD</t>
  </si>
  <si>
    <t>CAD</t>
  </si>
  <si>
    <t>CDF</t>
  </si>
  <si>
    <t>CLF</t>
  </si>
  <si>
    <t>CLP</t>
  </si>
  <si>
    <t>CNH</t>
  </si>
  <si>
    <t>CNY</t>
  </si>
  <si>
    <t>COP</t>
  </si>
  <si>
    <t>CRC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</si>
  <si>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</si>
  <si>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</si>
  <si>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</si>
  <si>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</si>
  <si>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</si>
  <si>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</si>
  <si>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</si>
  <si>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</si>
  <si>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</si>
  <si>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</si>
  <si>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FJD</t>
  </si>
  <si>
    <t>FKP</t>
  </si>
  <si>
    <t>FOK</t>
  </si>
  <si>
    <t>GEL</t>
  </si>
  <si>
    <t>GGP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</si>
  <si>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</si>
  <si>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</si>
  <si>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</si>
  <si>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</si>
  <si>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</si>
  <si>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</si>
  <si>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</si>
  <si>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</si>
  <si>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</si>
  <si>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</si>
  <si>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</si>
  <si>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</si>
  <si>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</si>
  <si>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IMP</t>
  </si>
  <si>
    <t>INR</t>
  </si>
  <si>
    <t>IQD</t>
  </si>
  <si>
    <t>IRR</t>
  </si>
  <si>
    <t>ISK</t>
  </si>
  <si>
    <t>JEP</t>
  </si>
  <si>
    <t>JMD</t>
  </si>
  <si>
    <t>JOD</t>
  </si>
  <si>
    <t>KES</t>
  </si>
  <si>
    <t>KGS</t>
  </si>
  <si>
    <t>KHR</t>
  </si>
  <si>
    <t>KID</t>
  </si>
  <si>
    <t>KMF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</si>
  <si>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</si>
  <si>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</si>
  <si>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</si>
  <si>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</si>
  <si>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</si>
  <si>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</si>
  <si>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</si>
  <si>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</si>
  <si>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</si>
  <si>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</si>
  <si>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</si>
  <si>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</si>
  <si>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</si>
  <si>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</si>
  <si>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</si>
  <si>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</si>
  <si>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</si>
  <si>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MRU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</si>
  <si>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</si>
  <si>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</si>
  <si>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</si>
  <si>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</si>
  <si>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</si>
  <si>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</si>
  <si>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</si>
  <si>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</si>
  <si>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</si>
  <si>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</si>
  <si>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</si>
  <si>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</si>
  <si>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</si>
  <si>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</si>
  <si>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</si>
  <si>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</si>
  <si>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</si>
  <si>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</si>
  <si>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</si>
  <si>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</si>
  <si>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</si>
  <si>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</si>
  <si>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</si>
  <si>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</si>
  <si>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</si>
  <si>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</si>
  <si>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</si>
  <si>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</si>
  <si>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</si>
  <si>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</si>
  <si>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</si>
  <si>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</si>
  <si>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SLE</t>
  </si>
  <si>
    <t>SLL</t>
  </si>
  <si>
    <t>SOS</t>
  </si>
  <si>
    <t>SRD</t>
  </si>
  <si>
    <t>SSP</t>
  </si>
  <si>
    <t>STN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</si>
  <si>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</si>
  <si>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</si>
  <si>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</si>
  <si>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</si>
  <si>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</si>
  <si>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</si>
  <si>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</si>
  <si>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</si>
  <si>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</si>
  <si>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TVD</t>
  </si>
  <si>
    <t>TWD</t>
  </si>
  <si>
    <t>TZS</t>
  </si>
  <si>
    <t>UAH</t>
  </si>
  <si>
    <t>UGX</t>
  </si>
  <si>
    <t>UYU</t>
  </si>
  <si>
    <t>UZS</t>
  </si>
  <si>
    <t>VES</t>
  </si>
  <si>
    <t>VND</t>
  </si>
  <si>
    <t>VUV</t>
  </si>
  <si>
    <t>WST</t>
  </si>
  <si>
    <t>XAF</t>
  </si>
  <si>
    <t>XCD</t>
  </si>
  <si>
    <t>XCG</t>
  </si>
  <si>
    <t>XDR</t>
  </si>
  <si>
    <t>XOF</t>
  </si>
  <si>
    <t>XPF</t>
  </si>
  <si>
    <t>YER</t>
  </si>
  <si>
    <t>ZAR</t>
  </si>
  <si>
    <t>ZMW</t>
  </si>
  <si>
    <t>ZWG</t>
  </si>
  <si>
    <t>ZWL</t>
  </si>
  <si>
    <t>Currency</t>
  </si>
  <si>
    <t>Spot</t>
  </si>
  <si>
    <t>S</t>
  </si>
  <si>
    <t xml:space="preserve"> PARAMÈTRES DU MODÈLE FX  —  Natixis CIB</t>
  </si>
  <si>
    <t>Texte vert = Rempli automatiquement</t>
  </si>
  <si>
    <t>Données FX - Natixis*</t>
  </si>
  <si>
    <t>* Données fictives à des fins pédagogiques, basées sur les profils clients typiques du desk Sales FX (PME, secteur public, Caisses d'Épargne)</t>
  </si>
  <si>
    <t>PRICING FX &amp; CALCUL DE P&amp;L  —  Natixis CIB</t>
  </si>
  <si>
    <t xml:space="preserve">PRICING  ET P&amp;L </t>
  </si>
  <si>
    <t>FORMULE DU TAUX FORWARD</t>
  </si>
  <si>
    <t xml:space="preserve">DASHBOARD </t>
  </si>
  <si>
    <t>METHODE DE TRAVAIL</t>
  </si>
  <si>
    <t>-Récuparation des taux spot automatiquement de API à l'aide de Power Query et Taux directeurs</t>
  </si>
  <si>
    <t xml:space="preserve">-Calcul du taux théorique à l'aide de Macro VBA </t>
  </si>
  <si>
    <t>-Calcul du P&amp;A et mise à jour du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</si>
</sst>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0"/>
    <numFmt numFmtId="165" formatCode="0.0"/>
    <numFmt numFmtId="166" formatCode="#,##0.00&quot; €&quot;"/>
  </numFmts>
  <fonts count="19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4"/>
      <color rgb="FF0000FF"/>
      <name val="Arial"/>
      <family val="2"/>
    </font>
    <font>
      <i/>
      <sz val="9"/>
      <color rgb="FF0000FF"/>
      <name val="Arial"/>
      <family val="2"/>
    </font>
    <font>
      <b/>
      <sz val="14"/>
      <color rgb="FF008000"/>
      <name val="Arial"/>
      <family val="2"/>
    </font>
    <font>
      <i/>
      <sz val="9"/>
      <color rgb="FF008000"/>
      <name val="Arial"/>
      <family val="2"/>
    </font>
    <font>
      <b/>
      <sz val="14"/>
      <color rgb="FF000000"/>
      <name val="Arial"/>
      <family val="2"/>
    </font>
    <font>
      <i/>
      <sz val="9"/>
      <color rgb="FF000000"/>
      <name val="Arial"/>
      <family val="2"/>
    </font>
    <font>
      <b/>
      <sz val="9"/>
      <color rgb="FFFFFFFF"/>
      <name val="Arial"/>
      <family val="2"/>
    </font>
    <font>
      <b/>
      <i/>
      <sz val="9"/>
      <color rgb="FF1F3864"/>
      <name val="Arial"/>
      <family val="2"/>
    </font>
    <font>
      <sz val="10"/>
      <color rgb="FF008000"/>
      <name val="Arial"/>
      <family val="2"/>
    </font>
    <font>
      <b/>
      <sz val="11"/>
      <color rgb="FFFFFFFF"/>
      <name val="Arial"/>
      <family val="2"/>
    </font>
    <font>
      <b/>
      <sz val="14"/>
      <color rgb="FFFFFFFF"/>
      <name val="Arial"/>
      <family val="2"/>
    </font>
    <font>
      <b/>
      <sz val="18"/>
      <color rgb="FF1F3864"/>
      <name val="Arial"/>
      <family val="2"/>
    </font>
    <font>
      <b/>
      <i/>
      <sz val="11"/>
      <color theme="1"/>
      <name val="Calibri"/>
      <family val="2"/>
    </font>
    <font>
      <sz val="10"/>
      <color rgb="FF2D9F35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EEF2F7"/>
        <bgColor rgb="FFDCE6F1"/>
      </patternFill>
    </fill>
    <fill>
      <patternFill patternType="solid">
        <fgColor rgb="FFFFFFFF"/>
        <bgColor rgb="FFEEF2F7"/>
      </patternFill>
    </fill>
    <fill>
      <patternFill patternType="solid">
        <fgColor rgb="FFDCE6F1"/>
        <bgColor rgb="FFEEF2F7"/>
      </patternFill>
    </fill>
    <fill>
      <patternFill patternType="solid">
        <fgColor theme="4"/>
        <bgColor rgb="FF666699"/>
      </patternFill>
    </fill>
    <fill>
      <patternFill patternType="solid">
        <fgColor theme="3" tint="0.59999389629810485"/>
        <bgColor rgb="FF333333"/>
      </patternFill>
    </fill>
    <fill>
      <patternFill patternType="solid">
        <fgColor theme="4" tint="0.39997558519241921"/>
        <bgColor rgb="FF666699"/>
      </patternFill>
    </fill>
    <fill>
      <patternFill patternType="solid">
        <fgColor theme="4"/>
        <bgColor rgb="FFFF9900"/>
      </patternFill>
    </fill>
    <fill>
      <patternFill patternType="solid">
        <fgColor rgb="FF71B26E"/>
        <bgColor rgb="FF1F3864"/>
      </patternFill>
    </fill>
    <fill>
      <patternFill patternType="solid">
        <fgColor theme="4" tint="0.39997558519241921"/>
        <bgColor rgb="FF333333"/>
      </patternFill>
    </fill>
    <fill>
      <patternFill patternType="solid">
        <fgColor theme="4"/>
        <bgColor rgb="FF1F38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6" fillId="0" borderId="0" xfId="0" applyFont="1"/>
    <xf numFmtId="0" fontId="3" fillId="3" borderId="1" xfId="0" applyFont="1" applyFill="1" applyBorder="1" applyAlignment="1">
      <alignment horizontal="center" vertical="center" wrapText="1"/>
    </xf>
    <xf numFmtId="10" fontId="3" fillId="3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0" fontId="3" fillId="4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left" vertical="center"/>
    </xf>
    <xf numFmtId="3" fontId="13" fillId="3" borderId="1" xfId="0" applyNumberFormat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>
      <alignment horizontal="center" vertical="center" wrapText="1"/>
    </xf>
    <xf numFmtId="164" fontId="13" fillId="3" borderId="1" xfId="0" applyNumberFormat="1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left" vertical="center"/>
    </xf>
    <xf numFmtId="3" fontId="13" fillId="4" borderId="1" xfId="0" applyNumberFormat="1" applyFont="1" applyFill="1" applyBorder="1" applyAlignment="1">
      <alignment horizontal="center" vertical="center" wrapText="1"/>
    </xf>
    <xf numFmtId="1" fontId="4" fillId="4" borderId="1" xfId="0" applyNumberFormat="1" applyFont="1" applyFill="1" applyBorder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4" fontId="14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" fontId="13" fillId="3" borderId="1" xfId="0" applyNumberFormat="1" applyFont="1" applyFill="1" applyBorder="1" applyAlignment="1">
      <alignment horizontal="center" vertical="center" wrapText="1"/>
    </xf>
    <xf numFmtId="4" fontId="13" fillId="4" borderId="1" xfId="0" applyNumberFormat="1" applyFont="1" applyFill="1" applyBorder="1" applyAlignment="1">
      <alignment horizontal="center" vertical="center" wrapText="1"/>
    </xf>
    <xf numFmtId="166" fontId="14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164" fontId="18" fillId="3" borderId="1" xfId="0" applyNumberFormat="1" applyFont="1" applyFill="1" applyBorder="1" applyAlignment="1">
      <alignment horizontal="center" vertical="center" wrapText="1"/>
    </xf>
    <xf numFmtId="164" fontId="18" fillId="4" borderId="1" xfId="0" applyNumberFormat="1" applyFont="1" applyFill="1" applyBorder="1" applyAlignment="1">
      <alignment horizontal="center" vertical="center" wrapText="1"/>
    </xf>
    <xf numFmtId="4" fontId="18" fillId="3" borderId="1" xfId="0" applyNumberFormat="1" applyFont="1" applyFill="1" applyBorder="1" applyAlignment="1">
      <alignment horizontal="center" vertical="center" wrapText="1"/>
    </xf>
    <xf numFmtId="165" fontId="18" fillId="3" borderId="1" xfId="0" applyNumberFormat="1" applyFont="1" applyFill="1" applyBorder="1" applyAlignment="1">
      <alignment horizontal="center" vertical="center" wrapText="1"/>
    </xf>
    <xf numFmtId="165" fontId="18" fillId="4" borderId="1" xfId="0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2" fillId="9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15" fillId="11" borderId="0" xfId="0" applyFont="1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166" fontId="16" fillId="3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10" fillId="0" borderId="0" xfId="0" applyFont="1"/>
    <xf numFmtId="0" fontId="1" fillId="7" borderId="0" xfId="0" applyFont="1" applyFill="1" applyAlignment="1">
      <alignment horizontal="center" vertical="center" wrapText="1"/>
    </xf>
    <xf numFmtId="0" fontId="6" fillId="0" borderId="0" xfId="0" applyFont="1"/>
    <xf numFmtId="0" fontId="17" fillId="0" borderId="0" xfId="0" applyFont="1" applyAlignment="1">
      <alignment horizontal="center"/>
    </xf>
    <xf numFmtId="0" fontId="2" fillId="6" borderId="0" xfId="0" applyFont="1" applyFill="1" applyAlignment="1">
      <alignment horizontal="center" vertical="center" wrapText="1"/>
    </xf>
    <xf numFmtId="0" fontId="12" fillId="5" borderId="0" xfId="0" applyFont="1" applyFill="1" applyAlignment="1">
      <alignment horizontal="center" vertical="center" wrapText="1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EEF2F7"/>
      <rgbColor rgb="FFDCE6F1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C9A84C"/>
      <rgbColor rgb="FF1F3864"/>
      <rgbColor rgb="FF538135"/>
      <rgbColor rgb="FF003300"/>
      <rgbColor rgb="FF333300"/>
      <rgbColor rgb="FF993300"/>
      <rgbColor rgb="FF993366"/>
      <rgbColor rgb="FF2F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1B26E"/>
      <color rgb="FF2D9F35"/>
      <color rgb="FF008000"/>
      <color rgb="FFCCFF33"/>
      <color rgb="FF793096"/>
      <color rgb="FFD640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E203D594-710A-438C-87EB-C2A985A67A16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5C02B4-E147-475D-8E01-98B9338478BB}" name="EUR" displayName="EUR" ref="A1:B167" tableType="queryTable" totalsRowShown="0">
  <autoFilter ref="A1:B167" xr:uid="{605C02B4-E147-475D-8E01-98B9338478BB}"/>
  <tableColumns count="2">
    <tableColumn id="1" xr3:uid="{D1B4F88B-0BAE-4897-9824-5438FA354E1C}" uniqueName="1" name="Currency" queryTableFieldId="1"/>
    <tableColumn id="2" xr3:uid="{996FBED2-2AA0-41D1-8654-24D8F6A4CC57}" uniqueName="2" name="Spot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538135"/>
  </sheetPr>
  <dimension ref="A1:H24"/>
  <sheetViews>
    <sheetView showGridLines="0" zoomScaleNormal="100" workbookViewId="0">
      <selection activeCell="F13" sqref="F13"/>
    </sheetView>
  </sheetViews>
  <sheetFormatPr baseColWidth="10" defaultColWidth="8.6640625" defaultRowHeight="14.25" x14ac:dyDescent="0.45"/>
  <cols>
    <col min="1" max="1" width="3" customWidth="1"/>
    <col min="2" max="2" width="22" customWidth="1"/>
    <col min="3" max="8" width="18" customWidth="1"/>
  </cols>
  <sheetData>
    <row r="1" spans="1:8" ht="39.75" customHeight="1" x14ac:dyDescent="0.45">
      <c r="A1" s="44" t="s">
        <v>245</v>
      </c>
      <c r="B1" s="44"/>
      <c r="C1" s="44"/>
      <c r="D1" s="44"/>
      <c r="E1" s="44"/>
      <c r="F1" s="44"/>
      <c r="G1" s="44"/>
      <c r="H1" s="44"/>
    </row>
    <row r="3" spans="1:8" ht="19.5" customHeight="1" x14ac:dyDescent="0.45">
      <c r="B3" s="45" t="s">
        <v>69</v>
      </c>
      <c r="C3" s="45"/>
      <c r="D3" s="45" t="s">
        <v>70</v>
      </c>
      <c r="E3" s="45"/>
      <c r="F3" s="45" t="s">
        <v>71</v>
      </c>
      <c r="G3" s="45"/>
    </row>
    <row r="4" spans="1:8" ht="27.75" customHeight="1" x14ac:dyDescent="0.45">
      <c r="B4" s="46">
        <f>COUNTA(Positions!B5:B9)</f>
        <v>5</v>
      </c>
      <c r="C4" s="46"/>
      <c r="D4" s="47">
        <f>F14</f>
        <v>1439999.9999355492</v>
      </c>
      <c r="E4" s="47"/>
      <c r="F4" s="46">
        <f>COUNTA(Positions!C5:C9)</f>
        <v>5</v>
      </c>
      <c r="G4" s="46"/>
    </row>
    <row r="7" spans="1:8" ht="21.75" customHeight="1" x14ac:dyDescent="0.45">
      <c r="B7" s="42" t="s">
        <v>72</v>
      </c>
      <c r="C7" s="42"/>
      <c r="D7" s="42"/>
      <c r="E7" s="42"/>
      <c r="F7" s="42"/>
      <c r="G7" s="42"/>
    </row>
    <row r="8" spans="1:8" ht="21.75" customHeight="1" x14ac:dyDescent="0.45">
      <c r="B8" s="35" t="s">
        <v>35</v>
      </c>
      <c r="C8" s="35" t="s">
        <v>21</v>
      </c>
      <c r="D8" s="35" t="s">
        <v>37</v>
      </c>
      <c r="E8" s="35" t="s">
        <v>38</v>
      </c>
      <c r="F8" s="35" t="s">
        <v>67</v>
      </c>
      <c r="G8" s="35" t="s">
        <v>68</v>
      </c>
    </row>
    <row r="9" spans="1:8" ht="18" customHeight="1" x14ac:dyDescent="0.45">
      <c r="B9" s="17" t="str">
        <f>Positions!B5</f>
        <v>PME Alpha SAS</v>
      </c>
      <c r="C9" s="17" t="str">
        <f>Positions!C5</f>
        <v>EUR/USD</v>
      </c>
      <c r="D9" s="17" t="str">
        <f>Positions!D5</f>
        <v>ACHAT</v>
      </c>
      <c r="E9" s="19">
        <f>Positions!E5</f>
        <v>500000</v>
      </c>
      <c r="F9" s="29">
        <f>Pricing!I8</f>
        <v>3999999.9999995595</v>
      </c>
      <c r="G9" s="17" t="str">
        <f>Pricing!J8</f>
        <v>✅ Gain</v>
      </c>
    </row>
    <row r="10" spans="1:8" ht="18" customHeight="1" x14ac:dyDescent="0.45">
      <c r="B10" s="22" t="str">
        <f>Positions!B6</f>
        <v>Mairie de Lyon</v>
      </c>
      <c r="C10" s="22" t="str">
        <f>Positions!C6</f>
        <v>EUR/GBP</v>
      </c>
      <c r="D10" s="22" t="str">
        <f>Positions!D6</f>
        <v>VENTE</v>
      </c>
      <c r="E10" s="24">
        <f>Positions!E6</f>
        <v>250000</v>
      </c>
      <c r="F10" s="30">
        <f>Pricing!I9</f>
        <v>-2500000.0000000023</v>
      </c>
      <c r="G10" s="22" t="str">
        <f>Pricing!J9</f>
        <v>⚠️ Perte</v>
      </c>
    </row>
    <row r="11" spans="1:8" ht="18" customHeight="1" x14ac:dyDescent="0.45">
      <c r="B11" s="17" t="str">
        <f>Positions!B7</f>
        <v>Groupe Dubois</v>
      </c>
      <c r="C11" s="17" t="str">
        <f>Positions!C7</f>
        <v>EUR/JPY</v>
      </c>
      <c r="D11" s="17" t="str">
        <f>Positions!D7</f>
        <v>ACHAT</v>
      </c>
      <c r="E11" s="19">
        <f>Positions!E7</f>
        <v>750000</v>
      </c>
      <c r="F11" s="29">
        <f>Pricing!I10</f>
        <v>4499999.9999362221</v>
      </c>
      <c r="G11" s="17" t="str">
        <f>Pricing!J10</f>
        <v>✅ Gain</v>
      </c>
    </row>
    <row r="12" spans="1:8" ht="18" customHeight="1" x14ac:dyDescent="0.45">
      <c r="B12" s="22" t="str">
        <f>Positions!B8</f>
        <v>Caisse Épargne A</v>
      </c>
      <c r="C12" s="22" t="str">
        <f>Positions!C8</f>
        <v>EUR/CHF</v>
      </c>
      <c r="D12" s="22" t="str">
        <f>Positions!D8</f>
        <v>VENTE</v>
      </c>
      <c r="E12" s="24">
        <f>Positions!E8</f>
        <v>300000</v>
      </c>
      <c r="F12" s="30">
        <f>Pricing!I11</f>
        <v>-2400000.0000000689</v>
      </c>
      <c r="G12" s="22" t="str">
        <f>Pricing!J11</f>
        <v>⚠️ Perte</v>
      </c>
    </row>
    <row r="13" spans="1:8" ht="18" customHeight="1" x14ac:dyDescent="0.45">
      <c r="B13" s="17" t="str">
        <f>Positions!B9</f>
        <v>PME Beta SARL</v>
      </c>
      <c r="C13" s="17" t="str">
        <f>Positions!C9</f>
        <v>GBP/USD</v>
      </c>
      <c r="D13" s="17" t="str">
        <f>Positions!D9</f>
        <v>ACHAT</v>
      </c>
      <c r="E13" s="19">
        <f>Positions!E9</f>
        <v>180000</v>
      </c>
      <c r="F13" s="29">
        <f>Pricing!I12</f>
        <v>-2160000.0000001616</v>
      </c>
      <c r="G13" s="17" t="str">
        <f>Pricing!J12</f>
        <v>⚠️ Perte</v>
      </c>
    </row>
    <row r="14" spans="1:8" ht="21.75" customHeight="1" x14ac:dyDescent="0.45">
      <c r="E14" s="28" t="s">
        <v>73</v>
      </c>
      <c r="F14" s="31">
        <f>SUM(F9:F13)</f>
        <v>1439999.9999355492</v>
      </c>
    </row>
    <row r="17" spans="2:7" ht="19.5" customHeight="1" x14ac:dyDescent="0.45">
      <c r="B17" s="43" t="s">
        <v>246</v>
      </c>
      <c r="C17" s="43"/>
      <c r="D17" s="43"/>
      <c r="E17" s="43"/>
      <c r="F17" s="43"/>
      <c r="G17" s="43"/>
    </row>
    <row r="18" spans="2:7" ht="18" customHeight="1" x14ac:dyDescent="0.45">
      <c r="B18" s="49" t="s">
        <v>247</v>
      </c>
      <c r="C18" s="49"/>
      <c r="D18" s="49"/>
      <c r="E18" s="49"/>
      <c r="F18" s="49"/>
      <c r="G18" s="49"/>
    </row>
    <row r="19" spans="2:7" ht="18" customHeight="1" x14ac:dyDescent="0.45">
      <c r="B19" s="49" t="s">
        <v>248</v>
      </c>
      <c r="C19" s="50"/>
      <c r="D19" s="50"/>
      <c r="E19" s="50"/>
      <c r="F19" s="50"/>
      <c r="G19" s="50"/>
    </row>
    <row r="20" spans="2:7" ht="18" customHeight="1" x14ac:dyDescent="0.45">
      <c r="B20" s="49" t="s">
        <v>249</v>
      </c>
      <c r="C20" s="49"/>
      <c r="D20" s="49"/>
      <c r="E20" s="49"/>
      <c r="F20" s="49"/>
      <c r="G20" s="49"/>
    </row>
    <row r="21" spans="2:7" ht="18" customHeight="1" x14ac:dyDescent="0.45">
      <c r="B21" s="41"/>
      <c r="C21" s="41"/>
      <c r="D21" s="41"/>
      <c r="E21" s="41"/>
      <c r="F21" s="41"/>
      <c r="G21" s="41"/>
    </row>
    <row r="22" spans="2:7" ht="18" customHeight="1" x14ac:dyDescent="0.45">
      <c r="B22" s="43" t="s">
        <v>30</v>
      </c>
      <c r="C22" s="43"/>
      <c r="D22" s="43"/>
      <c r="E22" s="43"/>
      <c r="F22" s="43"/>
      <c r="G22" s="43"/>
    </row>
    <row r="23" spans="2:7" ht="17.649999999999999" x14ac:dyDescent="0.45">
      <c r="B23" s="10" t="s">
        <v>31</v>
      </c>
      <c r="C23" s="1" t="s">
        <v>32</v>
      </c>
      <c r="D23" s="1"/>
      <c r="E23" s="1"/>
    </row>
    <row r="24" spans="2:7" ht="17.649999999999999" x14ac:dyDescent="0.45">
      <c r="B24" s="11" t="s">
        <v>31</v>
      </c>
      <c r="C24" s="48" t="s">
        <v>239</v>
      </c>
      <c r="D24" s="48"/>
      <c r="E24" s="48"/>
    </row>
  </sheetData>
  <mergeCells count="14">
    <mergeCell ref="C24:E24"/>
    <mergeCell ref="B22:G22"/>
    <mergeCell ref="B18:G18"/>
    <mergeCell ref="B19:G19"/>
    <mergeCell ref="B20:G20"/>
    <mergeCell ref="B7:G7"/>
    <mergeCell ref="B17:G17"/>
    <mergeCell ref="A1:H1"/>
    <mergeCell ref="B3:C3"/>
    <mergeCell ref="D3:E3"/>
    <mergeCell ref="F3:G3"/>
    <mergeCell ref="B4:C4"/>
    <mergeCell ref="D4:E4"/>
    <mergeCell ref="F4:G4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3864"/>
  </sheetPr>
  <dimension ref="A1:D23"/>
  <sheetViews>
    <sheetView showGridLines="0" zoomScaleNormal="100" workbookViewId="0">
      <selection activeCell="C17" sqref="C17"/>
    </sheetView>
  </sheetViews>
  <sheetFormatPr baseColWidth="10" defaultColWidth="8.6640625" defaultRowHeight="14.25" x14ac:dyDescent="0.45"/>
  <cols>
    <col min="1" max="1" width="30" customWidth="1"/>
    <col min="2" max="2" width="22" customWidth="1"/>
    <col min="3" max="3" width="30" customWidth="1"/>
    <col min="4" max="4" width="22" customWidth="1"/>
  </cols>
  <sheetData>
    <row r="1" spans="1:4" ht="36" customHeight="1" x14ac:dyDescent="0.45">
      <c r="A1" s="52" t="s">
        <v>238</v>
      </c>
      <c r="B1" s="52"/>
      <c r="C1" s="52"/>
      <c r="D1" s="52"/>
    </row>
    <row r="3" spans="1:4" ht="21.75" customHeight="1" x14ac:dyDescent="0.45">
      <c r="A3" s="42" t="s">
        <v>0</v>
      </c>
      <c r="B3" s="42"/>
      <c r="C3" s="42"/>
      <c r="D3" s="42"/>
    </row>
    <row r="4" spans="1:4" x14ac:dyDescent="0.45">
      <c r="A4" s="34" t="s">
        <v>1</v>
      </c>
      <c r="B4" s="34" t="s">
        <v>2</v>
      </c>
      <c r="C4" s="34" t="s">
        <v>3</v>
      </c>
      <c r="D4" s="34" t="s">
        <v>4</v>
      </c>
    </row>
    <row r="5" spans="1:4" ht="18" customHeight="1" x14ac:dyDescent="0.45">
      <c r="A5" s="2" t="s">
        <v>5</v>
      </c>
      <c r="B5" s="3">
        <v>3.9E-2</v>
      </c>
      <c r="C5" s="32" t="s">
        <v>6</v>
      </c>
      <c r="D5" s="32" t="s">
        <v>7</v>
      </c>
    </row>
    <row r="6" spans="1:4" ht="18" customHeight="1" x14ac:dyDescent="0.45">
      <c r="A6" s="4" t="s">
        <v>8</v>
      </c>
      <c r="B6" s="5">
        <v>5.2999999999999999E-2</v>
      </c>
      <c r="C6" s="33" t="s">
        <v>9</v>
      </c>
      <c r="D6" s="33" t="s">
        <v>10</v>
      </c>
    </row>
    <row r="7" spans="1:4" ht="18" customHeight="1" x14ac:dyDescent="0.45">
      <c r="A7" s="2" t="s">
        <v>11</v>
      </c>
      <c r="B7" s="3">
        <v>5.2499999999999998E-2</v>
      </c>
      <c r="C7" s="32" t="s">
        <v>12</v>
      </c>
      <c r="D7" s="32" t="s">
        <v>13</v>
      </c>
    </row>
    <row r="8" spans="1:4" ht="18" customHeight="1" x14ac:dyDescent="0.45">
      <c r="A8" s="4" t="s">
        <v>14</v>
      </c>
      <c r="B8" s="5">
        <v>1E-3</v>
      </c>
      <c r="C8" s="33" t="s">
        <v>15</v>
      </c>
      <c r="D8" s="33" t="s">
        <v>16</v>
      </c>
    </row>
    <row r="9" spans="1:4" ht="18" customHeight="1" x14ac:dyDescent="0.45">
      <c r="A9" s="2" t="s">
        <v>17</v>
      </c>
      <c r="B9" s="3">
        <v>1.4999999999999999E-2</v>
      </c>
      <c r="C9" s="32" t="s">
        <v>18</v>
      </c>
      <c r="D9" s="32" t="s">
        <v>19</v>
      </c>
    </row>
    <row r="11" spans="1:4" ht="21.75" customHeight="1" x14ac:dyDescent="0.45">
      <c r="A11" s="42" t="s">
        <v>20</v>
      </c>
      <c r="B11" s="42"/>
      <c r="C11" s="42"/>
      <c r="D11" s="42"/>
    </row>
    <row r="12" spans="1:4" x14ac:dyDescent="0.45">
      <c r="A12" s="34" t="s">
        <v>21</v>
      </c>
      <c r="B12" s="34" t="s">
        <v>22</v>
      </c>
      <c r="C12" s="34" t="s">
        <v>23</v>
      </c>
      <c r="D12" s="34" t="s">
        <v>24</v>
      </c>
    </row>
    <row r="13" spans="1:4" x14ac:dyDescent="0.45">
      <c r="A13" s="2" t="s">
        <v>25</v>
      </c>
      <c r="B13" s="21" cm="1">
        <f t="array" ref="B13">_xlfn.XLOOKUP(D13,EUR[[#All],[Currency]],EUR[[#All],[Spot]],0,1,1)</f>
        <v>1.1599999999999999</v>
      </c>
      <c r="C13" s="2" t="s">
        <v>5</v>
      </c>
      <c r="D13" s="2" t="s">
        <v>8</v>
      </c>
    </row>
    <row r="14" spans="1:4" x14ac:dyDescent="0.45">
      <c r="A14" s="4" t="s">
        <v>26</v>
      </c>
      <c r="B14" s="21" cm="1">
        <f t="array" ref="B14">_xlfn.XLOOKUP(D14,EUR[[#All],[Currency]],EUR[[#All],[Spot]],0,1,1)</f>
        <v>0.86499999999999999</v>
      </c>
      <c r="C14" s="4" t="s">
        <v>5</v>
      </c>
      <c r="D14" s="4" t="s">
        <v>11</v>
      </c>
    </row>
    <row r="15" spans="1:4" x14ac:dyDescent="0.45">
      <c r="A15" s="2" t="s">
        <v>27</v>
      </c>
      <c r="B15" s="21" cm="1">
        <f t="array" ref="B15">_xlfn.XLOOKUP(D15,EUR[[#All],[Currency]],EUR[[#All],[Spot]],0,1,1)</f>
        <v>183.57</v>
      </c>
      <c r="C15" s="2" t="s">
        <v>5</v>
      </c>
      <c r="D15" s="2" t="s">
        <v>14</v>
      </c>
    </row>
    <row r="16" spans="1:4" x14ac:dyDescent="0.45">
      <c r="A16" s="4" t="s">
        <v>28</v>
      </c>
      <c r="B16" s="21" cm="1">
        <f t="array" ref="B16">_xlfn.XLOOKUP(D16,EUR[[#All],[Currency]],EUR[[#All],[Spot]],0,1,1)</f>
        <v>0.90400000000000003</v>
      </c>
      <c r="C16" s="4" t="s">
        <v>5</v>
      </c>
      <c r="D16" s="4" t="s">
        <v>17</v>
      </c>
    </row>
    <row r="17" spans="1:4" x14ac:dyDescent="0.45">
      <c r="A17" s="2" t="s">
        <v>29</v>
      </c>
      <c r="B17" s="21">
        <f>B13/B14</f>
        <v>1.3410404624277457</v>
      </c>
      <c r="C17" s="2" t="s">
        <v>11</v>
      </c>
      <c r="D17" s="2" t="s">
        <v>8</v>
      </c>
    </row>
    <row r="20" spans="1:4" ht="19.5" customHeight="1" x14ac:dyDescent="0.45">
      <c r="A20" s="43" t="s">
        <v>30</v>
      </c>
      <c r="B20" s="43"/>
      <c r="C20" s="43"/>
      <c r="D20" s="43"/>
    </row>
    <row r="21" spans="1:4" ht="15.75" customHeight="1" x14ac:dyDescent="0.45">
      <c r="A21" s="10" t="s">
        <v>31</v>
      </c>
      <c r="B21" s="53" t="s">
        <v>32</v>
      </c>
      <c r="C21" s="53"/>
      <c r="D21" s="53"/>
    </row>
    <row r="22" spans="1:4" ht="15.75" customHeight="1" x14ac:dyDescent="0.45">
      <c r="A22" s="11" t="s">
        <v>31</v>
      </c>
      <c r="B22" s="48" t="s">
        <v>239</v>
      </c>
      <c r="C22" s="48"/>
      <c r="D22" s="48"/>
    </row>
    <row r="23" spans="1:4" ht="15.75" customHeight="1" x14ac:dyDescent="0.45">
      <c r="A23" s="12"/>
      <c r="B23" s="51"/>
      <c r="C23" s="51"/>
      <c r="D23" s="51"/>
    </row>
  </sheetData>
  <mergeCells count="7">
    <mergeCell ref="B22:D22"/>
    <mergeCell ref="B23:D23"/>
    <mergeCell ref="A1:D1"/>
    <mergeCell ref="A3:D3"/>
    <mergeCell ref="A11:D11"/>
    <mergeCell ref="A20:D20"/>
    <mergeCell ref="B21:D2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71B26E"/>
  </sheetPr>
  <dimension ref="A1:J15"/>
  <sheetViews>
    <sheetView showGridLines="0" tabSelected="1" zoomScaleNormal="100" workbookViewId="0">
      <selection activeCell="E18" sqref="E18"/>
    </sheetView>
  </sheetViews>
  <sheetFormatPr baseColWidth="10" defaultColWidth="8.6640625" defaultRowHeight="14.25" x14ac:dyDescent="0.45"/>
  <cols>
    <col min="1" max="1" width="8" customWidth="1"/>
    <col min="2" max="2" width="20" customWidth="1"/>
    <col min="3" max="5" width="14" customWidth="1"/>
    <col min="6" max="7" width="16" customWidth="1"/>
    <col min="8" max="8" width="20" customWidth="1"/>
    <col min="9" max="9" width="16" customWidth="1"/>
    <col min="10" max="10" width="18" customWidth="1"/>
  </cols>
  <sheetData>
    <row r="1" spans="1:10" ht="36" customHeight="1" x14ac:dyDescent="0.45">
      <c r="A1" s="52" t="s">
        <v>240</v>
      </c>
      <c r="B1" s="52"/>
      <c r="C1" s="52"/>
      <c r="D1" s="52"/>
      <c r="E1" s="52"/>
      <c r="F1" s="52"/>
      <c r="G1" s="52"/>
      <c r="H1" s="52"/>
      <c r="I1" s="52"/>
      <c r="J1" s="52"/>
    </row>
    <row r="3" spans="1:10" ht="21.75" customHeight="1" x14ac:dyDescent="0.45">
      <c r="A3" s="42" t="s">
        <v>33</v>
      </c>
      <c r="B3" s="42"/>
      <c r="C3" s="42"/>
      <c r="D3" s="42"/>
      <c r="E3" s="42"/>
      <c r="F3" s="42"/>
      <c r="G3" s="42"/>
      <c r="H3" s="42"/>
      <c r="I3" s="42"/>
      <c r="J3" s="42"/>
    </row>
    <row r="4" spans="1:10" ht="27.75" customHeight="1" x14ac:dyDescent="0.45">
      <c r="A4" s="35" t="s">
        <v>34</v>
      </c>
      <c r="B4" s="35" t="s">
        <v>35</v>
      </c>
      <c r="C4" s="35" t="s">
        <v>36</v>
      </c>
      <c r="D4" s="35" t="s">
        <v>37</v>
      </c>
      <c r="E4" s="35" t="s">
        <v>38</v>
      </c>
      <c r="F4" s="35" t="s">
        <v>39</v>
      </c>
      <c r="G4" s="35" t="s">
        <v>40</v>
      </c>
      <c r="H4" s="35" t="s">
        <v>41</v>
      </c>
      <c r="I4" s="35" t="s">
        <v>42</v>
      </c>
      <c r="J4" s="35" t="s">
        <v>43</v>
      </c>
    </row>
    <row r="5" spans="1:10" ht="18" customHeight="1" x14ac:dyDescent="0.45">
      <c r="A5" s="6">
        <v>1</v>
      </c>
      <c r="B5" s="2" t="s">
        <v>44</v>
      </c>
      <c r="C5" s="2" t="s">
        <v>25</v>
      </c>
      <c r="D5" s="2" t="s">
        <v>45</v>
      </c>
      <c r="E5" s="13">
        <v>500000</v>
      </c>
      <c r="F5" s="14" t="s">
        <v>46</v>
      </c>
      <c r="G5" s="14" t="s">
        <v>47</v>
      </c>
      <c r="H5" s="7">
        <v>1.1643999999999999</v>
      </c>
      <c r="I5" s="36">
        <f>_xlfn.XLOOKUP(C5,Parametres!$A$13:$A$17,Parametres!$B$13:$B$17,0,1,1)</f>
        <v>1.1599999999999999</v>
      </c>
      <c r="J5" s="6" t="s">
        <v>48</v>
      </c>
    </row>
    <row r="6" spans="1:10" ht="18" customHeight="1" x14ac:dyDescent="0.45">
      <c r="A6" s="8">
        <v>2</v>
      </c>
      <c r="B6" s="4" t="s">
        <v>49</v>
      </c>
      <c r="C6" s="4" t="s">
        <v>26</v>
      </c>
      <c r="D6" s="4" t="s">
        <v>50</v>
      </c>
      <c r="E6" s="15">
        <v>250000</v>
      </c>
      <c r="F6" s="16" t="s">
        <v>51</v>
      </c>
      <c r="G6" s="16" t="s">
        <v>52</v>
      </c>
      <c r="H6" s="9">
        <v>0.86809999999999998</v>
      </c>
      <c r="I6" s="36">
        <f>_xlfn.XLOOKUP(C6,Parametres!$A$13:$A$17,Parametres!$B$13:$B$17,0,1,1)</f>
        <v>0.86499999999999999</v>
      </c>
      <c r="J6" s="8" t="s">
        <v>48</v>
      </c>
    </row>
    <row r="7" spans="1:10" ht="18" customHeight="1" x14ac:dyDescent="0.45">
      <c r="A7" s="6">
        <v>3</v>
      </c>
      <c r="B7" s="2" t="s">
        <v>53</v>
      </c>
      <c r="C7" s="2" t="s">
        <v>27</v>
      </c>
      <c r="D7" s="2" t="s">
        <v>45</v>
      </c>
      <c r="E7" s="13">
        <v>750000</v>
      </c>
      <c r="F7" s="14" t="s">
        <v>54</v>
      </c>
      <c r="G7" s="14" t="s">
        <v>55</v>
      </c>
      <c r="H7" s="7">
        <v>182.999</v>
      </c>
      <c r="I7" s="36">
        <f>_xlfn.XLOOKUP(C7,Parametres!$A$13:$A$17,Parametres!$B$13:$B$17,0,1,1)</f>
        <v>183.57</v>
      </c>
      <c r="J7" s="6" t="s">
        <v>48</v>
      </c>
    </row>
    <row r="8" spans="1:10" ht="18" customHeight="1" x14ac:dyDescent="0.45">
      <c r="A8" s="8">
        <v>4</v>
      </c>
      <c r="B8" s="4" t="s">
        <v>56</v>
      </c>
      <c r="C8" s="4" t="s">
        <v>28</v>
      </c>
      <c r="D8" s="4" t="s">
        <v>50</v>
      </c>
      <c r="E8" s="15">
        <v>300000</v>
      </c>
      <c r="F8" s="16" t="s">
        <v>57</v>
      </c>
      <c r="G8" s="16" t="s">
        <v>58</v>
      </c>
      <c r="H8" s="9">
        <v>0.89429999999999998</v>
      </c>
      <c r="I8" s="36">
        <f>_xlfn.XLOOKUP(C8,Parametres!$A$13:$A$17,Parametres!$B$13:$B$17,0,1,1)</f>
        <v>0.90400000000000003</v>
      </c>
      <c r="J8" s="8" t="s">
        <v>48</v>
      </c>
    </row>
    <row r="9" spans="1:10" ht="18" customHeight="1" x14ac:dyDescent="0.45">
      <c r="A9" s="6">
        <v>5</v>
      </c>
      <c r="B9" s="2" t="s">
        <v>59</v>
      </c>
      <c r="C9" s="2" t="s">
        <v>29</v>
      </c>
      <c r="D9" s="2" t="s">
        <v>45</v>
      </c>
      <c r="E9" s="13">
        <v>180000</v>
      </c>
      <c r="F9" s="14" t="s">
        <v>60</v>
      </c>
      <c r="G9" s="14" t="s">
        <v>61</v>
      </c>
      <c r="H9" s="7">
        <v>1.3424</v>
      </c>
      <c r="I9" s="36">
        <f>_xlfn.XLOOKUP(C9,Parametres!$A$13:$A$17,Parametres!$B$13:$B$17,0,1,1)</f>
        <v>1.3410404624277457</v>
      </c>
      <c r="J9" s="6" t="s">
        <v>48</v>
      </c>
    </row>
    <row r="15" spans="1:10" x14ac:dyDescent="0.45">
      <c r="B15" s="54" t="s">
        <v>241</v>
      </c>
      <c r="C15" s="54"/>
      <c r="D15" s="54"/>
      <c r="E15" s="54"/>
      <c r="F15" s="54"/>
      <c r="G15" s="54"/>
      <c r="H15" s="54"/>
    </row>
  </sheetData>
  <mergeCells count="3">
    <mergeCell ref="A1:J1"/>
    <mergeCell ref="A3:J3"/>
    <mergeCell ref="B15:H15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C9F7-5110-4E6C-8B58-724E35B484C6}">
  <sheetPr codeName="Feuil5">
    <tabColor theme="3"/>
  </sheetPr>
  <dimension ref="A1:B167"/>
  <sheetViews>
    <sheetView showGridLines="0" workbookViewId="0">
      <selection activeCell="I20" sqref="I20"/>
    </sheetView>
  </sheetViews>
  <sheetFormatPr baseColWidth="10" defaultRowHeight="14.25" x14ac:dyDescent="0.45"/>
  <cols>
    <col min="1" max="1" width="7.73046875" bestFit="1" customWidth="1"/>
    <col min="2" max="2" width="10.73046875" bestFit="1" customWidth="1"/>
  </cols>
  <sheetData>
    <row r="1" spans="1:2" x14ac:dyDescent="0.45">
      <c r="A1" t="s">
        <v>235</v>
      </c>
      <c r="B1" t="s">
        <v>236</v>
      </c>
    </row>
    <row r="2" spans="1:2" x14ac:dyDescent="0.45">
      <c r="A2" t="s">
        <v>5</v>
      </c>
      <c r="B2">
        <v>1</v>
      </c>
    </row>
    <row r="3" spans="1:2" x14ac:dyDescent="0.45">
      <c r="A3" t="s">
        <v>74</v>
      </c>
      <c r="B3">
        <v>4.2699999999999996</v>
      </c>
    </row>
    <row r="4" spans="1:2" x14ac:dyDescent="0.45">
      <c r="A4" t="s">
        <v>75</v>
      </c>
      <c r="B4">
        <v>73.680000000000007</v>
      </c>
    </row>
    <row r="5" spans="1:2" x14ac:dyDescent="0.45">
      <c r="A5" t="s">
        <v>76</v>
      </c>
      <c r="B5">
        <v>96.12</v>
      </c>
    </row>
    <row r="6" spans="1:2" x14ac:dyDescent="0.45">
      <c r="A6" t="s">
        <v>77</v>
      </c>
      <c r="B6">
        <v>439.05</v>
      </c>
    </row>
    <row r="7" spans="1:2" x14ac:dyDescent="0.45">
      <c r="A7" t="s">
        <v>78</v>
      </c>
      <c r="B7">
        <v>2.08</v>
      </c>
    </row>
    <row r="8" spans="1:2" x14ac:dyDescent="0.45">
      <c r="A8" t="s">
        <v>79</v>
      </c>
      <c r="B8">
        <v>1094.3599999999999</v>
      </c>
    </row>
    <row r="9" spans="1:2" x14ac:dyDescent="0.45">
      <c r="A9" t="s">
        <v>80</v>
      </c>
      <c r="B9">
        <v>1688.31</v>
      </c>
    </row>
    <row r="10" spans="1:2" x14ac:dyDescent="0.45">
      <c r="A10" t="s">
        <v>81</v>
      </c>
      <c r="B10">
        <v>1.63</v>
      </c>
    </row>
    <row r="11" spans="1:2" x14ac:dyDescent="0.45">
      <c r="A11" t="s">
        <v>82</v>
      </c>
      <c r="B11">
        <v>2.08</v>
      </c>
    </row>
    <row r="12" spans="1:2" x14ac:dyDescent="0.45">
      <c r="A12" t="s">
        <v>83</v>
      </c>
      <c r="B12">
        <v>1.98</v>
      </c>
    </row>
    <row r="13" spans="1:2" x14ac:dyDescent="0.45">
      <c r="A13" t="s">
        <v>84</v>
      </c>
      <c r="B13">
        <v>1.96</v>
      </c>
    </row>
    <row r="14" spans="1:2" x14ac:dyDescent="0.45">
      <c r="A14" t="s">
        <v>85</v>
      </c>
      <c r="B14">
        <v>2.33</v>
      </c>
    </row>
    <row r="15" spans="1:2" x14ac:dyDescent="0.45">
      <c r="A15" t="s">
        <v>86</v>
      </c>
      <c r="B15">
        <v>142.22999999999999</v>
      </c>
    </row>
    <row r="16" spans="1:2" x14ac:dyDescent="0.45">
      <c r="A16" t="s">
        <v>87</v>
      </c>
      <c r="B16">
        <v>1.96</v>
      </c>
    </row>
    <row r="17" spans="1:2" x14ac:dyDescent="0.45">
      <c r="A17" t="s">
        <v>88</v>
      </c>
      <c r="B17">
        <v>0.437</v>
      </c>
    </row>
    <row r="18" spans="1:2" x14ac:dyDescent="0.45">
      <c r="A18" t="s">
        <v>89</v>
      </c>
      <c r="B18">
        <v>3459.53</v>
      </c>
    </row>
    <row r="19" spans="1:2" x14ac:dyDescent="0.45">
      <c r="A19" t="s">
        <v>90</v>
      </c>
      <c r="B19">
        <v>1.1599999999999999</v>
      </c>
    </row>
    <row r="20" spans="1:2" x14ac:dyDescent="0.45">
      <c r="A20" t="s">
        <v>91</v>
      </c>
      <c r="B20">
        <v>1.48</v>
      </c>
    </row>
    <row r="21" spans="1:2" x14ac:dyDescent="0.45">
      <c r="A21" t="s">
        <v>92</v>
      </c>
      <c r="B21">
        <v>8.0500000000000007</v>
      </c>
    </row>
    <row r="22" spans="1:2" x14ac:dyDescent="0.45">
      <c r="A22" t="s">
        <v>93</v>
      </c>
      <c r="B22">
        <v>6.01</v>
      </c>
    </row>
    <row r="23" spans="1:2" x14ac:dyDescent="0.45">
      <c r="A23" t="s">
        <v>94</v>
      </c>
      <c r="B23">
        <v>1.1599999999999999</v>
      </c>
    </row>
    <row r="24" spans="1:2" x14ac:dyDescent="0.45">
      <c r="A24" t="s">
        <v>95</v>
      </c>
      <c r="B24">
        <v>106.95</v>
      </c>
    </row>
    <row r="25" spans="1:2" x14ac:dyDescent="0.45">
      <c r="A25" t="s">
        <v>96</v>
      </c>
      <c r="B25">
        <v>16.239999999999998</v>
      </c>
    </row>
    <row r="26" spans="1:2" x14ac:dyDescent="0.45">
      <c r="A26" t="s">
        <v>97</v>
      </c>
      <c r="B26">
        <v>3.41</v>
      </c>
    </row>
    <row r="27" spans="1:2" x14ac:dyDescent="0.45">
      <c r="A27" t="s">
        <v>98</v>
      </c>
      <c r="B27">
        <v>2.33</v>
      </c>
    </row>
    <row r="28" spans="1:2" x14ac:dyDescent="0.45">
      <c r="A28" t="s">
        <v>99</v>
      </c>
      <c r="B28">
        <v>1.58</v>
      </c>
    </row>
    <row r="29" spans="1:2" x14ac:dyDescent="0.45">
      <c r="A29" t="s">
        <v>100</v>
      </c>
      <c r="B29">
        <v>2507.09</v>
      </c>
    </row>
    <row r="30" spans="1:2" x14ac:dyDescent="0.45">
      <c r="A30" t="s">
        <v>17</v>
      </c>
      <c r="B30">
        <v>0.90400000000000003</v>
      </c>
    </row>
    <row r="31" spans="1:2" x14ac:dyDescent="0.45">
      <c r="A31" t="s">
        <v>101</v>
      </c>
      <c r="B31">
        <v>2.69E-2</v>
      </c>
    </row>
    <row r="32" spans="1:2" x14ac:dyDescent="0.45">
      <c r="A32" t="s">
        <v>102</v>
      </c>
      <c r="B32">
        <v>1064.8599999999999</v>
      </c>
    </row>
    <row r="33" spans="1:2" x14ac:dyDescent="0.45">
      <c r="A33" t="s">
        <v>103</v>
      </c>
      <c r="B33">
        <v>8</v>
      </c>
    </row>
    <row r="34" spans="1:2" x14ac:dyDescent="0.45">
      <c r="A34" t="s">
        <v>104</v>
      </c>
      <c r="B34">
        <v>7.99</v>
      </c>
    </row>
    <row r="35" spans="1:2" x14ac:dyDescent="0.45">
      <c r="A35" t="s">
        <v>105</v>
      </c>
      <c r="B35">
        <v>4366.99</v>
      </c>
    </row>
    <row r="36" spans="1:2" x14ac:dyDescent="0.45">
      <c r="A36" t="s">
        <v>106</v>
      </c>
      <c r="B36">
        <v>551.04</v>
      </c>
    </row>
    <row r="37" spans="1:2" x14ac:dyDescent="0.45">
      <c r="A37" t="s">
        <v>107</v>
      </c>
      <c r="B37">
        <v>27.9</v>
      </c>
    </row>
    <row r="38" spans="1:2" x14ac:dyDescent="0.45">
      <c r="A38" t="s">
        <v>108</v>
      </c>
      <c r="B38">
        <v>110.27</v>
      </c>
    </row>
    <row r="39" spans="1:2" x14ac:dyDescent="0.45">
      <c r="A39" t="s">
        <v>109</v>
      </c>
      <c r="B39">
        <v>24.39</v>
      </c>
    </row>
    <row r="40" spans="1:2" x14ac:dyDescent="0.45">
      <c r="A40" t="s">
        <v>110</v>
      </c>
      <c r="B40">
        <v>206.61</v>
      </c>
    </row>
    <row r="41" spans="1:2" x14ac:dyDescent="0.45">
      <c r="A41" t="s">
        <v>111</v>
      </c>
      <c r="B41">
        <v>7.46</v>
      </c>
    </row>
    <row r="42" spans="1:2" x14ac:dyDescent="0.45">
      <c r="A42" t="s">
        <v>112</v>
      </c>
      <c r="B42">
        <v>69.849999999999994</v>
      </c>
    </row>
    <row r="43" spans="1:2" x14ac:dyDescent="0.45">
      <c r="A43" t="s">
        <v>113</v>
      </c>
      <c r="B43">
        <v>153.03</v>
      </c>
    </row>
    <row r="44" spans="1:2" x14ac:dyDescent="0.45">
      <c r="A44" t="s">
        <v>114</v>
      </c>
      <c r="B44">
        <v>60.42</v>
      </c>
    </row>
    <row r="45" spans="1:2" x14ac:dyDescent="0.45">
      <c r="A45" t="s">
        <v>115</v>
      </c>
      <c r="B45">
        <v>17.440000000000001</v>
      </c>
    </row>
    <row r="46" spans="1:2" x14ac:dyDescent="0.45">
      <c r="A46" t="s">
        <v>116</v>
      </c>
      <c r="B46">
        <v>181.44</v>
      </c>
    </row>
    <row r="47" spans="1:2" x14ac:dyDescent="0.45">
      <c r="A47" t="s">
        <v>117</v>
      </c>
      <c r="B47">
        <v>2.56</v>
      </c>
    </row>
    <row r="48" spans="1:2" x14ac:dyDescent="0.45">
      <c r="A48" t="s">
        <v>118</v>
      </c>
      <c r="B48">
        <v>0.86499999999999999</v>
      </c>
    </row>
    <row r="49" spans="1:2" x14ac:dyDescent="0.45">
      <c r="A49" t="s">
        <v>119</v>
      </c>
      <c r="B49">
        <v>7.46</v>
      </c>
    </row>
    <row r="50" spans="1:2" x14ac:dyDescent="0.45">
      <c r="A50" t="s">
        <v>11</v>
      </c>
      <c r="B50">
        <v>0.86499999999999999</v>
      </c>
    </row>
    <row r="51" spans="1:2" x14ac:dyDescent="0.45">
      <c r="A51" t="s">
        <v>120</v>
      </c>
      <c r="B51">
        <v>3.19</v>
      </c>
    </row>
    <row r="52" spans="1:2" x14ac:dyDescent="0.45">
      <c r="A52" t="s">
        <v>121</v>
      </c>
      <c r="B52">
        <v>0.86499999999999999</v>
      </c>
    </row>
    <row r="53" spans="1:2" x14ac:dyDescent="0.45">
      <c r="A53" t="s">
        <v>122</v>
      </c>
      <c r="B53">
        <v>12.57</v>
      </c>
    </row>
    <row r="54" spans="1:2" x14ac:dyDescent="0.45">
      <c r="A54" t="s">
        <v>123</v>
      </c>
      <c r="B54">
        <v>0.86499999999999999</v>
      </c>
    </row>
    <row r="55" spans="1:2" x14ac:dyDescent="0.45">
      <c r="A55" t="s">
        <v>124</v>
      </c>
      <c r="B55">
        <v>86.27</v>
      </c>
    </row>
    <row r="56" spans="1:2" x14ac:dyDescent="0.45">
      <c r="A56" t="s">
        <v>125</v>
      </c>
      <c r="B56">
        <v>10187.83</v>
      </c>
    </row>
    <row r="57" spans="1:2" x14ac:dyDescent="0.45">
      <c r="A57" t="s">
        <v>126</v>
      </c>
      <c r="B57">
        <v>8.92</v>
      </c>
    </row>
    <row r="58" spans="1:2" x14ac:dyDescent="0.45">
      <c r="A58" t="s">
        <v>127</v>
      </c>
      <c r="B58">
        <v>243.34</v>
      </c>
    </row>
    <row r="59" spans="1:2" x14ac:dyDescent="0.45">
      <c r="A59" t="s">
        <v>128</v>
      </c>
      <c r="B59">
        <v>9.1</v>
      </c>
    </row>
    <row r="60" spans="1:2" x14ac:dyDescent="0.45">
      <c r="A60" t="s">
        <v>129</v>
      </c>
      <c r="B60">
        <v>30.81</v>
      </c>
    </row>
    <row r="61" spans="1:2" x14ac:dyDescent="0.45">
      <c r="A61" t="s">
        <v>130</v>
      </c>
      <c r="B61">
        <v>7.53</v>
      </c>
    </row>
    <row r="62" spans="1:2" x14ac:dyDescent="0.45">
      <c r="A62" t="s">
        <v>131</v>
      </c>
      <c r="B62">
        <v>152.4</v>
      </c>
    </row>
    <row r="63" spans="1:2" x14ac:dyDescent="0.45">
      <c r="A63" t="s">
        <v>132</v>
      </c>
      <c r="B63">
        <v>386.43</v>
      </c>
    </row>
    <row r="64" spans="1:2" x14ac:dyDescent="0.45">
      <c r="A64" t="s">
        <v>133</v>
      </c>
      <c r="B64">
        <v>19648.330000000002</v>
      </c>
    </row>
    <row r="65" spans="1:2" x14ac:dyDescent="0.45">
      <c r="A65" t="s">
        <v>134</v>
      </c>
      <c r="B65">
        <v>3.59</v>
      </c>
    </row>
    <row r="66" spans="1:2" x14ac:dyDescent="0.45">
      <c r="A66" t="s">
        <v>135</v>
      </c>
      <c r="B66">
        <v>0.86499999999999999</v>
      </c>
    </row>
    <row r="67" spans="1:2" x14ac:dyDescent="0.45">
      <c r="A67" t="s">
        <v>136</v>
      </c>
      <c r="B67">
        <v>106.95</v>
      </c>
    </row>
    <row r="68" spans="1:2" x14ac:dyDescent="0.45">
      <c r="A68" t="s">
        <v>137</v>
      </c>
      <c r="B68">
        <v>1521.4</v>
      </c>
    </row>
    <row r="69" spans="1:2" x14ac:dyDescent="0.45">
      <c r="A69" t="s">
        <v>138</v>
      </c>
      <c r="B69">
        <v>1120181.27</v>
      </c>
    </row>
    <row r="70" spans="1:2" x14ac:dyDescent="0.45">
      <c r="A70" t="s">
        <v>139</v>
      </c>
      <c r="B70">
        <v>144.91999999999999</v>
      </c>
    </row>
    <row r="71" spans="1:2" x14ac:dyDescent="0.45">
      <c r="A71" t="s">
        <v>140</v>
      </c>
      <c r="B71">
        <v>0.86499999999999999</v>
      </c>
    </row>
    <row r="72" spans="1:2" x14ac:dyDescent="0.45">
      <c r="A72" t="s">
        <v>141</v>
      </c>
      <c r="B72">
        <v>182.93</v>
      </c>
    </row>
    <row r="73" spans="1:2" x14ac:dyDescent="0.45">
      <c r="A73" t="s">
        <v>142</v>
      </c>
      <c r="B73">
        <v>0.82399999999999995</v>
      </c>
    </row>
    <row r="74" spans="1:2" x14ac:dyDescent="0.45">
      <c r="A74" t="s">
        <v>14</v>
      </c>
      <c r="B74">
        <v>183.57</v>
      </c>
    </row>
    <row r="75" spans="1:2" x14ac:dyDescent="0.45">
      <c r="A75" t="s">
        <v>143</v>
      </c>
      <c r="B75">
        <v>150.44</v>
      </c>
    </row>
    <row r="76" spans="1:2" x14ac:dyDescent="0.45">
      <c r="A76" t="s">
        <v>144</v>
      </c>
      <c r="B76">
        <v>101.73</v>
      </c>
    </row>
    <row r="77" spans="1:2" x14ac:dyDescent="0.45">
      <c r="A77" t="s">
        <v>145</v>
      </c>
      <c r="B77">
        <v>4684.3</v>
      </c>
    </row>
    <row r="78" spans="1:2" x14ac:dyDescent="0.45">
      <c r="A78" t="s">
        <v>146</v>
      </c>
      <c r="B78">
        <v>1.63</v>
      </c>
    </row>
    <row r="79" spans="1:2" x14ac:dyDescent="0.45">
      <c r="A79" t="s">
        <v>147</v>
      </c>
      <c r="B79">
        <v>491.97</v>
      </c>
    </row>
    <row r="80" spans="1:2" x14ac:dyDescent="0.45">
      <c r="A80" t="s">
        <v>148</v>
      </c>
      <c r="B80">
        <v>1712.02</v>
      </c>
    </row>
    <row r="81" spans="1:2" x14ac:dyDescent="0.45">
      <c r="A81" t="s">
        <v>149</v>
      </c>
      <c r="B81">
        <v>0.35699999999999998</v>
      </c>
    </row>
    <row r="82" spans="1:2" x14ac:dyDescent="0.45">
      <c r="A82" t="s">
        <v>150</v>
      </c>
      <c r="B82">
        <v>0.96899999999999997</v>
      </c>
    </row>
    <row r="83" spans="1:2" x14ac:dyDescent="0.45">
      <c r="A83" t="s">
        <v>151</v>
      </c>
      <c r="B83">
        <v>568.80999999999995</v>
      </c>
    </row>
    <row r="84" spans="1:2" x14ac:dyDescent="0.45">
      <c r="A84" t="s">
        <v>152</v>
      </c>
      <c r="B84">
        <v>25032.57</v>
      </c>
    </row>
    <row r="85" spans="1:2" x14ac:dyDescent="0.45">
      <c r="A85" t="s">
        <v>153</v>
      </c>
      <c r="B85">
        <v>104048.06</v>
      </c>
    </row>
    <row r="86" spans="1:2" x14ac:dyDescent="0.45">
      <c r="A86" t="s">
        <v>154</v>
      </c>
      <c r="B86">
        <v>361.56</v>
      </c>
    </row>
    <row r="87" spans="1:2" x14ac:dyDescent="0.45">
      <c r="A87" t="s">
        <v>155</v>
      </c>
      <c r="B87">
        <v>212.91</v>
      </c>
    </row>
    <row r="88" spans="1:2" x14ac:dyDescent="0.45">
      <c r="A88" t="s">
        <v>156</v>
      </c>
      <c r="B88">
        <v>18.920000000000002</v>
      </c>
    </row>
    <row r="89" spans="1:2" x14ac:dyDescent="0.45">
      <c r="A89" t="s">
        <v>157</v>
      </c>
      <c r="B89">
        <v>7.42</v>
      </c>
    </row>
    <row r="90" spans="1:2" x14ac:dyDescent="0.45">
      <c r="A90" t="s">
        <v>158</v>
      </c>
      <c r="B90">
        <v>10.87</v>
      </c>
    </row>
    <row r="91" spans="1:2" x14ac:dyDescent="0.45">
      <c r="A91" t="s">
        <v>159</v>
      </c>
      <c r="B91">
        <v>20.079999999999998</v>
      </c>
    </row>
    <row r="92" spans="1:2" x14ac:dyDescent="0.45">
      <c r="A92" t="s">
        <v>160</v>
      </c>
      <c r="B92">
        <v>4846.3</v>
      </c>
    </row>
    <row r="93" spans="1:2" x14ac:dyDescent="0.45">
      <c r="A93" t="s">
        <v>161</v>
      </c>
      <c r="B93">
        <v>61.7</v>
      </c>
    </row>
    <row r="94" spans="1:2" x14ac:dyDescent="0.45">
      <c r="A94" t="s">
        <v>162</v>
      </c>
      <c r="B94">
        <v>2443.67</v>
      </c>
    </row>
    <row r="95" spans="1:2" x14ac:dyDescent="0.45">
      <c r="A95" t="s">
        <v>163</v>
      </c>
      <c r="B95">
        <v>4172.16</v>
      </c>
    </row>
    <row r="96" spans="1:2" x14ac:dyDescent="0.45">
      <c r="A96" t="s">
        <v>164</v>
      </c>
      <c r="B96">
        <v>9.3699999999999992</v>
      </c>
    </row>
    <row r="97" spans="1:2" x14ac:dyDescent="0.45">
      <c r="A97" t="s">
        <v>165</v>
      </c>
      <c r="B97">
        <v>46.57</v>
      </c>
    </row>
    <row r="98" spans="1:2" x14ac:dyDescent="0.45">
      <c r="A98" t="s">
        <v>166</v>
      </c>
      <c r="B98">
        <v>53.65</v>
      </c>
    </row>
    <row r="99" spans="1:2" x14ac:dyDescent="0.45">
      <c r="A99" t="s">
        <v>167</v>
      </c>
      <c r="B99">
        <v>18</v>
      </c>
    </row>
    <row r="100" spans="1:2" x14ac:dyDescent="0.45">
      <c r="A100" t="s">
        <v>168</v>
      </c>
      <c r="B100">
        <v>2025.78</v>
      </c>
    </row>
    <row r="101" spans="1:2" x14ac:dyDescent="0.45">
      <c r="A101" t="s">
        <v>169</v>
      </c>
      <c r="B101">
        <v>20.440000000000001</v>
      </c>
    </row>
    <row r="102" spans="1:2" x14ac:dyDescent="0.45">
      <c r="A102" t="s">
        <v>170</v>
      </c>
      <c r="B102">
        <v>4.57</v>
      </c>
    </row>
    <row r="103" spans="1:2" x14ac:dyDescent="0.45">
      <c r="A103" t="s">
        <v>171</v>
      </c>
      <c r="B103">
        <v>74.2</v>
      </c>
    </row>
    <row r="104" spans="1:2" x14ac:dyDescent="0.45">
      <c r="A104" t="s">
        <v>172</v>
      </c>
      <c r="B104">
        <v>18.920000000000002</v>
      </c>
    </row>
    <row r="105" spans="1:2" x14ac:dyDescent="0.45">
      <c r="A105" t="s">
        <v>173</v>
      </c>
      <c r="B105">
        <v>1617.4</v>
      </c>
    </row>
    <row r="106" spans="1:2" x14ac:dyDescent="0.45">
      <c r="A106" t="s">
        <v>174</v>
      </c>
      <c r="B106">
        <v>42.79</v>
      </c>
    </row>
    <row r="107" spans="1:2" x14ac:dyDescent="0.45">
      <c r="A107" t="s">
        <v>175</v>
      </c>
      <c r="B107">
        <v>11.18</v>
      </c>
    </row>
    <row r="108" spans="1:2" x14ac:dyDescent="0.45">
      <c r="A108" t="s">
        <v>176</v>
      </c>
      <c r="B108">
        <v>171.11</v>
      </c>
    </row>
    <row r="109" spans="1:2" x14ac:dyDescent="0.45">
      <c r="A109" t="s">
        <v>177</v>
      </c>
      <c r="B109">
        <v>1.96</v>
      </c>
    </row>
    <row r="110" spans="1:2" x14ac:dyDescent="0.45">
      <c r="A110" t="s">
        <v>178</v>
      </c>
      <c r="B110">
        <v>0.44700000000000001</v>
      </c>
    </row>
    <row r="111" spans="1:2" x14ac:dyDescent="0.45">
      <c r="A111" t="s">
        <v>179</v>
      </c>
      <c r="B111">
        <v>1.1599999999999999</v>
      </c>
    </row>
    <row r="112" spans="1:2" x14ac:dyDescent="0.45">
      <c r="A112" t="s">
        <v>180</v>
      </c>
      <c r="B112">
        <v>4.03</v>
      </c>
    </row>
    <row r="113" spans="1:2" x14ac:dyDescent="0.45">
      <c r="A113" t="s">
        <v>181</v>
      </c>
      <c r="B113">
        <v>5</v>
      </c>
    </row>
    <row r="114" spans="1:2" x14ac:dyDescent="0.45">
      <c r="A114" t="s">
        <v>182</v>
      </c>
      <c r="B114">
        <v>68.58</v>
      </c>
    </row>
    <row r="115" spans="1:2" x14ac:dyDescent="0.45">
      <c r="A115" t="s">
        <v>183</v>
      </c>
      <c r="B115">
        <v>325.06</v>
      </c>
    </row>
    <row r="116" spans="1:2" x14ac:dyDescent="0.45">
      <c r="A116" t="s">
        <v>184</v>
      </c>
      <c r="B116">
        <v>4.26</v>
      </c>
    </row>
    <row r="117" spans="1:2" x14ac:dyDescent="0.45">
      <c r="A117" t="s">
        <v>185</v>
      </c>
      <c r="B117">
        <v>7508.7</v>
      </c>
    </row>
    <row r="118" spans="1:2" x14ac:dyDescent="0.45">
      <c r="A118" t="s">
        <v>186</v>
      </c>
      <c r="B118">
        <v>4.2300000000000004</v>
      </c>
    </row>
    <row r="119" spans="1:2" x14ac:dyDescent="0.45">
      <c r="A119" t="s">
        <v>187</v>
      </c>
      <c r="B119">
        <v>5.09</v>
      </c>
    </row>
    <row r="120" spans="1:2" x14ac:dyDescent="0.45">
      <c r="A120" t="s">
        <v>188</v>
      </c>
      <c r="B120">
        <v>117.45</v>
      </c>
    </row>
    <row r="121" spans="1:2" x14ac:dyDescent="0.45">
      <c r="A121" t="s">
        <v>189</v>
      </c>
      <c r="B121">
        <v>91.78</v>
      </c>
    </row>
    <row r="122" spans="1:2" x14ac:dyDescent="0.45">
      <c r="A122" t="s">
        <v>190</v>
      </c>
      <c r="B122">
        <v>1695.8</v>
      </c>
    </row>
    <row r="123" spans="1:2" x14ac:dyDescent="0.45">
      <c r="A123" t="s">
        <v>191</v>
      </c>
      <c r="B123">
        <v>4.3600000000000003</v>
      </c>
    </row>
    <row r="124" spans="1:2" x14ac:dyDescent="0.45">
      <c r="A124" t="s">
        <v>192</v>
      </c>
      <c r="B124">
        <v>9.24</v>
      </c>
    </row>
    <row r="125" spans="1:2" x14ac:dyDescent="0.45">
      <c r="A125" t="s">
        <v>193</v>
      </c>
      <c r="B125">
        <v>16.77</v>
      </c>
    </row>
    <row r="126" spans="1:2" x14ac:dyDescent="0.45">
      <c r="A126" t="s">
        <v>194</v>
      </c>
      <c r="B126">
        <v>519.72</v>
      </c>
    </row>
    <row r="127" spans="1:2" x14ac:dyDescent="0.45">
      <c r="A127" t="s">
        <v>195</v>
      </c>
      <c r="B127">
        <v>10.65</v>
      </c>
    </row>
    <row r="128" spans="1:2" x14ac:dyDescent="0.45">
      <c r="A128" t="s">
        <v>196</v>
      </c>
      <c r="B128">
        <v>1.48</v>
      </c>
    </row>
    <row r="129" spans="1:2" x14ac:dyDescent="0.45">
      <c r="A129" t="s">
        <v>197</v>
      </c>
      <c r="B129">
        <v>0.86499999999999999</v>
      </c>
    </row>
    <row r="130" spans="1:2" x14ac:dyDescent="0.45">
      <c r="A130" t="s">
        <v>198</v>
      </c>
      <c r="B130">
        <v>28.41</v>
      </c>
    </row>
    <row r="131" spans="1:2" x14ac:dyDescent="0.45">
      <c r="A131" t="s">
        <v>199</v>
      </c>
      <c r="B131">
        <v>28406.240000000002</v>
      </c>
    </row>
    <row r="132" spans="1:2" x14ac:dyDescent="0.45">
      <c r="A132" t="s">
        <v>200</v>
      </c>
      <c r="B132">
        <v>662.96</v>
      </c>
    </row>
    <row r="133" spans="1:2" x14ac:dyDescent="0.45">
      <c r="A133" t="s">
        <v>201</v>
      </c>
      <c r="B133">
        <v>43.96</v>
      </c>
    </row>
    <row r="134" spans="1:2" x14ac:dyDescent="0.45">
      <c r="A134" t="s">
        <v>202</v>
      </c>
      <c r="B134">
        <v>5341.08</v>
      </c>
    </row>
    <row r="135" spans="1:2" x14ac:dyDescent="0.45">
      <c r="A135" t="s">
        <v>203</v>
      </c>
      <c r="B135">
        <v>24.5</v>
      </c>
    </row>
    <row r="136" spans="1:2" x14ac:dyDescent="0.45">
      <c r="A136" t="s">
        <v>204</v>
      </c>
      <c r="B136">
        <v>130.81</v>
      </c>
    </row>
    <row r="137" spans="1:2" x14ac:dyDescent="0.45">
      <c r="A137" t="s">
        <v>205</v>
      </c>
      <c r="B137">
        <v>18.920000000000002</v>
      </c>
    </row>
    <row r="138" spans="1:2" x14ac:dyDescent="0.45">
      <c r="A138" t="s">
        <v>206</v>
      </c>
      <c r="B138">
        <v>36.75</v>
      </c>
    </row>
    <row r="139" spans="1:2" x14ac:dyDescent="0.45">
      <c r="A139" t="s">
        <v>207</v>
      </c>
      <c r="B139">
        <v>11.05</v>
      </c>
    </row>
    <row r="140" spans="1:2" x14ac:dyDescent="0.45">
      <c r="A140" t="s">
        <v>208</v>
      </c>
      <c r="B140">
        <v>4.07</v>
      </c>
    </row>
    <row r="141" spans="1:2" x14ac:dyDescent="0.45">
      <c r="A141" t="s">
        <v>209</v>
      </c>
      <c r="B141">
        <v>3.39</v>
      </c>
    </row>
    <row r="142" spans="1:2" x14ac:dyDescent="0.45">
      <c r="A142" t="s">
        <v>210</v>
      </c>
      <c r="B142">
        <v>2.75</v>
      </c>
    </row>
    <row r="143" spans="1:2" x14ac:dyDescent="0.45">
      <c r="A143" t="s">
        <v>211</v>
      </c>
      <c r="B143">
        <v>51.23</v>
      </c>
    </row>
    <row r="144" spans="1:2" x14ac:dyDescent="0.45">
      <c r="A144" t="s">
        <v>212</v>
      </c>
      <c r="B144">
        <v>8.44</v>
      </c>
    </row>
    <row r="145" spans="1:2" x14ac:dyDescent="0.45">
      <c r="A145" t="s">
        <v>213</v>
      </c>
      <c r="B145">
        <v>1.63</v>
      </c>
    </row>
    <row r="146" spans="1:2" x14ac:dyDescent="0.45">
      <c r="A146" t="s">
        <v>214</v>
      </c>
      <c r="B146">
        <v>36.950000000000003</v>
      </c>
    </row>
    <row r="147" spans="1:2" x14ac:dyDescent="0.45">
      <c r="A147" t="s">
        <v>215</v>
      </c>
      <c r="B147">
        <v>2999.79</v>
      </c>
    </row>
    <row r="148" spans="1:2" x14ac:dyDescent="0.45">
      <c r="A148" t="s">
        <v>216</v>
      </c>
      <c r="B148">
        <v>51.1</v>
      </c>
    </row>
    <row r="149" spans="1:2" x14ac:dyDescent="0.45">
      <c r="A149" t="s">
        <v>217</v>
      </c>
      <c r="B149">
        <v>4312.1000000000004</v>
      </c>
    </row>
    <row r="150" spans="1:2" x14ac:dyDescent="0.45">
      <c r="A150" t="s">
        <v>8</v>
      </c>
      <c r="B150">
        <v>1.1599999999999999</v>
      </c>
    </row>
    <row r="151" spans="1:2" x14ac:dyDescent="0.45">
      <c r="A151" t="s">
        <v>218</v>
      </c>
      <c r="B151">
        <v>46.6</v>
      </c>
    </row>
    <row r="152" spans="1:2" x14ac:dyDescent="0.45">
      <c r="A152" t="s">
        <v>219</v>
      </c>
      <c r="B152">
        <v>14186.74</v>
      </c>
    </row>
    <row r="153" spans="1:2" x14ac:dyDescent="0.45">
      <c r="A153" t="s">
        <v>220</v>
      </c>
      <c r="B153">
        <v>510.21</v>
      </c>
    </row>
    <row r="154" spans="1:2" x14ac:dyDescent="0.45">
      <c r="A154" t="s">
        <v>221</v>
      </c>
      <c r="B154">
        <v>30240.53</v>
      </c>
    </row>
    <row r="155" spans="1:2" x14ac:dyDescent="0.45">
      <c r="A155" t="s">
        <v>222</v>
      </c>
      <c r="B155">
        <v>138.62</v>
      </c>
    </row>
    <row r="156" spans="1:2" x14ac:dyDescent="0.45">
      <c r="A156" t="s">
        <v>223</v>
      </c>
      <c r="B156">
        <v>3.14</v>
      </c>
    </row>
    <row r="157" spans="1:2" x14ac:dyDescent="0.45">
      <c r="A157" t="s">
        <v>224</v>
      </c>
      <c r="B157">
        <v>655.96</v>
      </c>
    </row>
    <row r="158" spans="1:2" x14ac:dyDescent="0.45">
      <c r="A158" t="s">
        <v>225</v>
      </c>
      <c r="B158">
        <v>3.14</v>
      </c>
    </row>
    <row r="159" spans="1:2" x14ac:dyDescent="0.45">
      <c r="A159" t="s">
        <v>226</v>
      </c>
      <c r="B159">
        <v>2.08</v>
      </c>
    </row>
    <row r="160" spans="1:2" x14ac:dyDescent="0.45">
      <c r="A160" t="s">
        <v>227</v>
      </c>
      <c r="B160">
        <v>0.85099999999999998</v>
      </c>
    </row>
    <row r="161" spans="1:2" x14ac:dyDescent="0.45">
      <c r="A161" t="s">
        <v>228</v>
      </c>
      <c r="B161">
        <v>655.96</v>
      </c>
    </row>
    <row r="162" spans="1:2" x14ac:dyDescent="0.45">
      <c r="A162" t="s">
        <v>229</v>
      </c>
      <c r="B162">
        <v>119.33</v>
      </c>
    </row>
    <row r="163" spans="1:2" x14ac:dyDescent="0.45">
      <c r="A163" t="s">
        <v>230</v>
      </c>
      <c r="B163">
        <v>277.75</v>
      </c>
    </row>
    <row r="164" spans="1:2" x14ac:dyDescent="0.45">
      <c r="A164" t="s">
        <v>231</v>
      </c>
      <c r="B164">
        <v>18.920000000000002</v>
      </c>
    </row>
    <row r="165" spans="1:2" x14ac:dyDescent="0.45">
      <c r="A165" t="s">
        <v>232</v>
      </c>
      <c r="B165">
        <v>22.53</v>
      </c>
    </row>
    <row r="166" spans="1:2" x14ac:dyDescent="0.45">
      <c r="A166" t="s">
        <v>233</v>
      </c>
      <c r="B166">
        <v>29.76</v>
      </c>
    </row>
    <row r="167" spans="1:2" x14ac:dyDescent="0.45">
      <c r="A167" t="s">
        <v>234</v>
      </c>
      <c r="B167">
        <v>29.76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3" tint="0.59999389629810485"/>
  </sheetPr>
  <dimension ref="A1:J18"/>
  <sheetViews>
    <sheetView showGridLines="0" zoomScaleNormal="100" workbookViewId="0">
      <selection activeCell="F17" sqref="F17"/>
    </sheetView>
  </sheetViews>
  <sheetFormatPr baseColWidth="10" defaultColWidth="8.6640625" defaultRowHeight="14.25" x14ac:dyDescent="0.45"/>
  <cols>
    <col min="1" max="1" width="8" customWidth="1"/>
    <col min="2" max="2" width="20" customWidth="1"/>
    <col min="3" max="4" width="14" customWidth="1"/>
    <col min="5" max="6" width="16" customWidth="1"/>
    <col min="7" max="9" width="18" customWidth="1"/>
    <col min="10" max="10" width="20.3984375" bestFit="1" customWidth="1"/>
  </cols>
  <sheetData>
    <row r="1" spans="1:10" ht="36" customHeight="1" x14ac:dyDescent="0.45">
      <c r="A1" s="52" t="s">
        <v>242</v>
      </c>
      <c r="B1" s="52"/>
      <c r="C1" s="52"/>
      <c r="D1" s="52"/>
      <c r="E1" s="52"/>
      <c r="F1" s="52"/>
      <c r="G1" s="52"/>
      <c r="H1" s="52"/>
      <c r="I1" s="52"/>
      <c r="J1" s="52"/>
    </row>
    <row r="3" spans="1:10" ht="19.5" customHeight="1" x14ac:dyDescent="0.45">
      <c r="A3" s="55" t="s">
        <v>244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5.75" customHeight="1" x14ac:dyDescent="0.45">
      <c r="A4" s="56" t="s">
        <v>62</v>
      </c>
      <c r="B4" s="56"/>
      <c r="C4" s="56"/>
      <c r="D4" s="56"/>
      <c r="E4" s="56"/>
      <c r="F4" s="56"/>
      <c r="G4" s="56"/>
      <c r="H4" s="56"/>
      <c r="I4" s="56"/>
      <c r="J4" s="56"/>
    </row>
    <row r="6" spans="1:10" ht="21.75" customHeight="1" x14ac:dyDescent="0.45">
      <c r="A6" s="42" t="s">
        <v>243</v>
      </c>
      <c r="B6" s="42"/>
      <c r="C6" s="42"/>
      <c r="D6" s="42"/>
      <c r="E6" s="42"/>
      <c r="F6" s="42"/>
      <c r="G6" s="42"/>
      <c r="H6" s="42"/>
      <c r="I6" s="42"/>
      <c r="J6" s="42"/>
    </row>
    <row r="7" spans="1:10" ht="27.75" customHeight="1" x14ac:dyDescent="0.45">
      <c r="A7" s="35" t="s">
        <v>34</v>
      </c>
      <c r="B7" s="35" t="s">
        <v>35</v>
      </c>
      <c r="C7" s="35" t="s">
        <v>36</v>
      </c>
      <c r="D7" s="35" t="s">
        <v>38</v>
      </c>
      <c r="E7" s="35" t="s">
        <v>63</v>
      </c>
      <c r="F7" s="35" t="s">
        <v>64</v>
      </c>
      <c r="G7" s="35" t="s">
        <v>65</v>
      </c>
      <c r="H7" s="35" t="s">
        <v>66</v>
      </c>
      <c r="I7" s="35" t="s">
        <v>67</v>
      </c>
      <c r="J7" s="35" t="s">
        <v>68</v>
      </c>
    </row>
    <row r="8" spans="1:10" ht="18" customHeight="1" x14ac:dyDescent="0.45">
      <c r="A8" s="17">
        <f>Positions!A5</f>
        <v>1</v>
      </c>
      <c r="B8" s="18" t="str">
        <f>Positions!B5</f>
        <v>PME Alpha SAS</v>
      </c>
      <c r="C8" s="17" t="str">
        <f>Positions!C5</f>
        <v>EUR/USD</v>
      </c>
      <c r="D8" s="19">
        <f>Positions!E5</f>
        <v>500000</v>
      </c>
      <c r="E8" s="20">
        <f ca="1">Positions!G5-TODAY()</f>
        <v>81</v>
      </c>
      <c r="F8" s="36">
        <v>1.1636</v>
      </c>
      <c r="G8" s="21">
        <f>Positions!H5</f>
        <v>1.1643999999999999</v>
      </c>
      <c r="H8" s="39">
        <f>(G8-F8)*10000</f>
        <v>7.9999999999991189</v>
      </c>
      <c r="I8" s="38">
        <f>1*H8*D8</f>
        <v>3999999.9999995595</v>
      </c>
      <c r="J8" s="6" t="str">
        <f>IF(I8&gt;0,"✅ Gain","⚠️ Perte")</f>
        <v>✅ Gain</v>
      </c>
    </row>
    <row r="9" spans="1:10" ht="18" customHeight="1" x14ac:dyDescent="0.45">
      <c r="A9" s="22">
        <f>Positions!A6</f>
        <v>2</v>
      </c>
      <c r="B9" s="23" t="str">
        <f>Positions!B6</f>
        <v>Mairie de Lyon</v>
      </c>
      <c r="C9" s="22" t="str">
        <f>Positions!C6</f>
        <v>EUR/GBP</v>
      </c>
      <c r="D9" s="24">
        <f>Positions!E6</f>
        <v>250000</v>
      </c>
      <c r="E9" s="25">
        <f ca="1">Positions!G6-TODAY()</f>
        <v>64</v>
      </c>
      <c r="F9" s="37">
        <v>0.86709999999999998</v>
      </c>
      <c r="G9" s="26">
        <f>Positions!H6</f>
        <v>0.86809999999999998</v>
      </c>
      <c r="H9" s="40">
        <f>(G9-F9)*10000</f>
        <v>10.000000000000009</v>
      </c>
      <c r="I9" s="38">
        <f>-1*H9*D9</f>
        <v>-2500000.0000000023</v>
      </c>
      <c r="J9" s="8" t="str">
        <f>IF(I9&gt;0,"✅ Gain","⚠️ Perte")</f>
        <v>⚠️ Perte</v>
      </c>
    </row>
    <row r="10" spans="1:10" ht="18" customHeight="1" x14ac:dyDescent="0.45">
      <c r="A10" s="17">
        <f>Positions!A7</f>
        <v>3</v>
      </c>
      <c r="B10" s="18" t="str">
        <f>Positions!B7</f>
        <v>Groupe Dubois</v>
      </c>
      <c r="C10" s="17" t="str">
        <f>Positions!C7</f>
        <v>EUR/JPY</v>
      </c>
      <c r="D10" s="19">
        <f>Positions!E7</f>
        <v>750000</v>
      </c>
      <c r="E10" s="20">
        <f ca="1">Positions!G7-TODAY()</f>
        <v>29</v>
      </c>
      <c r="F10" s="36">
        <v>182.9984</v>
      </c>
      <c r="G10" s="21">
        <f>Positions!H7</f>
        <v>182.999</v>
      </c>
      <c r="H10" s="39">
        <f>(G10-F10)*10000</f>
        <v>5.9999999999149622</v>
      </c>
      <c r="I10" s="38">
        <f>1*H10*D10</f>
        <v>4499999.9999362221</v>
      </c>
      <c r="J10" s="6" t="str">
        <f>IF(I10&gt;0,"✅ Gain","⚠️ Perte")</f>
        <v>✅ Gain</v>
      </c>
    </row>
    <row r="11" spans="1:10" ht="18" customHeight="1" x14ac:dyDescent="0.45">
      <c r="A11" s="22">
        <f>Positions!A8</f>
        <v>4</v>
      </c>
      <c r="B11" s="23" t="str">
        <f>Positions!B8</f>
        <v>Caisse Épargne A</v>
      </c>
      <c r="C11" s="22" t="str">
        <f>Positions!C8</f>
        <v>EUR/CHF</v>
      </c>
      <c r="D11" s="24">
        <f>Positions!E8</f>
        <v>300000</v>
      </c>
      <c r="E11" s="25">
        <f ca="1">Positions!G8-TODAY()</f>
        <v>177</v>
      </c>
      <c r="F11" s="37">
        <v>0.89349999999999996</v>
      </c>
      <c r="G11" s="26">
        <f>Positions!H8</f>
        <v>0.89429999999999998</v>
      </c>
      <c r="H11" s="40">
        <f>(G11-F11)*10000</f>
        <v>8.0000000000002292</v>
      </c>
      <c r="I11" s="38">
        <f>-1*H11*D11</f>
        <v>-2400000.0000000689</v>
      </c>
      <c r="J11" s="8" t="str">
        <f>IF(I11&gt;0,"✅ Gain","⚠️ Perte")</f>
        <v>⚠️ Perte</v>
      </c>
    </row>
    <row r="12" spans="1:10" ht="18" customHeight="1" x14ac:dyDescent="0.45">
      <c r="A12" s="17">
        <f>Positions!A9</f>
        <v>5</v>
      </c>
      <c r="B12" s="18" t="str">
        <f>Positions!B9</f>
        <v>PME Beta SARL</v>
      </c>
      <c r="C12" s="17" t="str">
        <f>Positions!C9</f>
        <v>GBP/USD</v>
      </c>
      <c r="D12" s="19">
        <f>Positions!E9</f>
        <v>180000</v>
      </c>
      <c r="E12" s="20">
        <f ca="1">Positions!G9-TODAY()</f>
        <v>69</v>
      </c>
      <c r="F12" s="36">
        <v>1.3411999999999999</v>
      </c>
      <c r="G12" s="21">
        <f>Positions!H9</f>
        <v>1.3424</v>
      </c>
      <c r="H12" s="39">
        <f>(G12-F12)*10000</f>
        <v>12.000000000000899</v>
      </c>
      <c r="I12" s="38">
        <f>-1*H12*D12</f>
        <v>-2160000.0000001616</v>
      </c>
      <c r="J12" s="6" t="str">
        <f>IF(I12&gt;0,"✅ Gain","⚠️ Perte")</f>
        <v>⚠️ Perte</v>
      </c>
    </row>
    <row r="14" spans="1:10" ht="53.25" customHeight="1" x14ac:dyDescent="0.45">
      <c r="A14" s="57"/>
      <c r="B14" s="57"/>
      <c r="C14" s="57"/>
      <c r="D14" s="57"/>
      <c r="E14" s="57"/>
      <c r="F14" s="57"/>
      <c r="G14" s="57"/>
      <c r="H14" s="57"/>
      <c r="I14" s="27">
        <f>SUM(I8:I12)</f>
        <v>1439999.9999355492</v>
      </c>
      <c r="J14" s="28" t="str">
        <f>IF(I14&gt;0,"✅ Portefeuille positif","⚠️ Portefeuille négatif")</f>
        <v>✅ Portefeuille positif</v>
      </c>
    </row>
    <row r="18" spans="6:6" x14ac:dyDescent="0.45">
      <c r="F18" t="s">
        <v>237</v>
      </c>
    </row>
  </sheetData>
  <mergeCells count="5">
    <mergeCell ref="A1:J1"/>
    <mergeCell ref="A3:J3"/>
    <mergeCell ref="A4:J4"/>
    <mergeCell ref="A6:J6"/>
    <mergeCell ref="A14:H14"/>
  </mergeCells>
  <pageMargins left="0.75" right="0.75" top="1" bottom="1" header="0.511811023622047" footer="0.511811023622047"/>
  <pageSetup paperSize="9" orientation="portrait" horizontalDpi="300" verticalDpi="300"/>
  <ignoredErrors>
    <ignoredError sqref="I9: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C5628B-BEBC-40B4-B39E-CE31D4049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Dashboard</vt:lpstr>
      <vt:lpstr>Parametres</vt:lpstr>
      <vt:lpstr>Positions</vt:lpstr>
      <vt:lpstr>Taux </vt:lpstr>
      <vt:lpstr>Pricing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Rihab Khalloufi</cp:lastModifiedBy>
  <cp:revision>0</cp:revision>
  <dcterms:created xsi:type="dcterms:W3CDTF">2026-03-10T07:45:32Z</dcterms:created>
  <dcterms:modified xsi:type="dcterms:W3CDTF">2026-03-12T08:38:04Z</dcterms:modified>
  <dc:language>en-US</dc:language>
</cp:coreProperties>
</file>